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fileSharing readOnlyRecommended="1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alculadora_producao\"/>
    </mc:Choice>
  </mc:AlternateContent>
  <xr:revisionPtr revIDLastSave="0" documentId="8_{638B5E24-35C0-47C5-A656-A85D6E1708AA}" xr6:coauthVersionLast="47" xr6:coauthVersionMax="47" xr10:uidLastSave="{00000000-0000-0000-0000-000000000000}"/>
  <bookViews>
    <workbookView xWindow="9360" yWindow="10690" windowWidth="19420" windowHeight="10300" xr2:uid="{00000000-000D-0000-FFFF-FFFF00000000}"/>
  </bookViews>
  <sheets>
    <sheet name="Painel" sheetId="1" r:id="rId1"/>
    <sheet name="BaseFator" sheetId="2" r:id="rId2"/>
    <sheet name="PDF" sheetId="3" r:id="rId3"/>
    <sheet name="Ordenados" sheetId="7" r:id="rId4"/>
    <sheet name="Dinamica" sheetId="6" r:id="rId5"/>
    <sheet name="Planilha3" sheetId="4" state="hidden" r:id="rId6"/>
  </sheets>
  <definedNames>
    <definedName name="_xlnm._FilterDatabase" localSheetId="1" hidden="1">BaseFator!$A$1:$H$1</definedName>
    <definedName name="_xlnm.Print_Area" localSheetId="2">PDF!$A$1:$S$29</definedName>
  </definedName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<sst xmlns="http://schemas.openxmlformats.org/spreadsheetml/2006/main" count="840" uniqueCount="225">
  <si>
    <t>GM</t>
  </si>
  <si>
    <t>CENTRO DE CUSTO</t>
  </si>
  <si>
    <t>SETOR</t>
  </si>
  <si>
    <t>DATA</t>
  </si>
  <si>
    <t>ANALISTA</t>
  </si>
  <si>
    <t>FATOR DE TOLERÂNCIA</t>
  </si>
  <si>
    <t>Informações Gerais</t>
  </si>
  <si>
    <t>SETOR:</t>
  </si>
  <si>
    <t>DATA:</t>
  </si>
  <si>
    <t>ANALISTA:</t>
  </si>
  <si>
    <t>Cálculos</t>
  </si>
  <si>
    <t>Eforço Físico</t>
  </si>
  <si>
    <t>Esforço Mental</t>
  </si>
  <si>
    <t>Tempo de Recuperação</t>
  </si>
  <si>
    <t>Monotonia</t>
  </si>
  <si>
    <t>Condições Térmicas</t>
  </si>
  <si>
    <t>Condições Atmosféricas</t>
  </si>
  <si>
    <t>Ruído</t>
  </si>
  <si>
    <t>Umidade</t>
  </si>
  <si>
    <t>Vibração</t>
  </si>
  <si>
    <t>Necessidades Pessoais:</t>
  </si>
  <si>
    <t>Resultados</t>
  </si>
  <si>
    <t>mgermano</t>
  </si>
  <si>
    <t>Esforço fisico</t>
  </si>
  <si>
    <t>Muito Leve</t>
  </si>
  <si>
    <t>Leve</t>
  </si>
  <si>
    <t>Médio</t>
  </si>
  <si>
    <t>Pesado</t>
  </si>
  <si>
    <t>Muito Pesado</t>
  </si>
  <si>
    <t>Esforço mental</t>
  </si>
  <si>
    <t>00 a 05</t>
  </si>
  <si>
    <t>06 a 10</t>
  </si>
  <si>
    <t>11 a 15</t>
  </si>
  <si>
    <t>16 a 20</t>
  </si>
  <si>
    <t>21 a 25</t>
  </si>
  <si>
    <t>26 a 30</t>
  </si>
  <si>
    <t>31 a 35</t>
  </si>
  <si>
    <t>36 a 40</t>
  </si>
  <si>
    <t>41 a 45</t>
  </si>
  <si>
    <t>46 a 50</t>
  </si>
  <si>
    <t>51 a 55</t>
  </si>
  <si>
    <t>56 a 60</t>
  </si>
  <si>
    <t>0,00 a 0,05</t>
  </si>
  <si>
    <t>0,06 a 0,25</t>
  </si>
  <si>
    <t>0,26 a 0,50</t>
  </si>
  <si>
    <t>0,51 a 1,00</t>
  </si>
  <si>
    <t>1,01 a 2,00</t>
  </si>
  <si>
    <t>2,01 a 3,00</t>
  </si>
  <si>
    <t>3,01 a 4,00</t>
  </si>
  <si>
    <t>Acima de 4,00</t>
  </si>
  <si>
    <t>Gelado</t>
  </si>
  <si>
    <t>Baixa</t>
  </si>
  <si>
    <t>Normal</t>
  </si>
  <si>
    <t>Alta</t>
  </si>
  <si>
    <t>Excessiva</t>
  </si>
  <si>
    <t>Boas</t>
  </si>
  <si>
    <t>Razoáveis</t>
  </si>
  <si>
    <t>Más</t>
  </si>
  <si>
    <t>Baixo nível</t>
  </si>
  <si>
    <t>Excessivo</t>
  </si>
  <si>
    <t>Seco</t>
  </si>
  <si>
    <t>Até 26°C</t>
  </si>
  <si>
    <t>Até 40°C</t>
  </si>
  <si>
    <t>Não há</t>
  </si>
  <si>
    <t>Do solo ou máquina</t>
  </si>
  <si>
    <t>5%</t>
  </si>
  <si>
    <t>Fadiga</t>
  </si>
  <si>
    <t>FUNÇÃO:</t>
  </si>
  <si>
    <t>ATIVIDADE:</t>
  </si>
  <si>
    <t>GM:</t>
  </si>
  <si>
    <t>CC:</t>
  </si>
  <si>
    <t>Fator de Tolerância:</t>
  </si>
  <si>
    <t>% Tempo Recuperação</t>
  </si>
  <si>
    <t>Monotonia (min.)</t>
  </si>
  <si>
    <t>ATIVIDADE</t>
  </si>
  <si>
    <t>FUNÇÃO</t>
  </si>
  <si>
    <t>POLT.070</t>
  </si>
  <si>
    <t>TAPEÇARIA</t>
  </si>
  <si>
    <t>MONTAGEM</t>
  </si>
  <si>
    <t>Rogério Lima</t>
  </si>
  <si>
    <t>COLAGM DE ESPUMAS</t>
  </si>
  <si>
    <t>MONTADOR</t>
  </si>
  <si>
    <t>CORTE E CUSTURA</t>
  </si>
  <si>
    <t>COSTUREIRA</t>
  </si>
  <si>
    <t>CAIO.250</t>
  </si>
  <si>
    <t>FABRICAÇÃO TETO</t>
  </si>
  <si>
    <t>SOLDAGEM</t>
  </si>
  <si>
    <t>SOLDADOR</t>
  </si>
  <si>
    <t>Thaís Sandre</t>
  </si>
  <si>
    <t>POLT.030</t>
  </si>
  <si>
    <t>ESTRUTURA POLTRONA</t>
  </si>
  <si>
    <t>MONTAGEM ESTRUTURA</t>
  </si>
  <si>
    <t>CAIO.730</t>
  </si>
  <si>
    <t>PRÉ-SELO</t>
  </si>
  <si>
    <t>REVISÃO ELÉTRICA E MECÂNICA</t>
  </si>
  <si>
    <t>ELETRICISTA / MECÂNICO</t>
  </si>
  <si>
    <t>Nathalia Estaneli</t>
  </si>
  <si>
    <t>CAIO.245</t>
  </si>
  <si>
    <t>DIANTEIRA E TRASEIRA</t>
  </si>
  <si>
    <t>CAIO.185</t>
  </si>
  <si>
    <t>SUBCONJUNTO LATERAL</t>
  </si>
  <si>
    <t>CAIO.255</t>
  </si>
  <si>
    <t>REVESTIMENTO TETO</t>
  </si>
  <si>
    <t>Bruno Moreira</t>
  </si>
  <si>
    <t>CAIO.715</t>
  </si>
  <si>
    <t>VEDAÇÃO</t>
  </si>
  <si>
    <t>TESTE DE VEDAÇÃO</t>
  </si>
  <si>
    <t>ACABADOR</t>
  </si>
  <si>
    <t>PREP.125</t>
  </si>
  <si>
    <t>MONTAGEM DE SUBCONJUNTO</t>
  </si>
  <si>
    <t>MONTAR CAIXA DE RODA PISO BAIXO</t>
  </si>
  <si>
    <t>Fábio Alves</t>
  </si>
  <si>
    <t>SUBCONJUNTO PREPARAÇÃO</t>
  </si>
  <si>
    <t>COBERTURA DO MOTOR</t>
  </si>
  <si>
    <t>PREP.140</t>
  </si>
  <si>
    <t>PREP.090</t>
  </si>
  <si>
    <t>MONTAGEM MÓDULOS</t>
  </si>
  <si>
    <t>CAIO.570</t>
  </si>
  <si>
    <t>Maicon Germano</t>
  </si>
  <si>
    <t>REVESTIMENTO INTERNO</t>
  </si>
  <si>
    <t>INSTALAÇÃO DO DUTO</t>
  </si>
  <si>
    <t>CAIO.500</t>
  </si>
  <si>
    <t>PREP.160</t>
  </si>
  <si>
    <t>CÉLULA DA BASE</t>
  </si>
  <si>
    <t>Alexandre Haro</t>
  </si>
  <si>
    <t>CAIO.440</t>
  </si>
  <si>
    <t>FUNILARIA</t>
  </si>
  <si>
    <t>LINHA A/B/C</t>
  </si>
  <si>
    <t>CAIO.502</t>
  </si>
  <si>
    <t>CENTRAL ELÉTRICA</t>
  </si>
  <si>
    <t>Guilherme Nascimento</t>
  </si>
  <si>
    <t>BASE DO PAINEL</t>
  </si>
  <si>
    <t>CAIO.505</t>
  </si>
  <si>
    <t>ACABAMENTO</t>
  </si>
  <si>
    <t>POSIÇÃO 1</t>
  </si>
  <si>
    <t>CAIO.170</t>
  </si>
  <si>
    <t>FRENTE E TRASEIRA</t>
  </si>
  <si>
    <t>SUBCONJUNTO</t>
  </si>
  <si>
    <t>CAIO.475</t>
  </si>
  <si>
    <t>PINTURA CENTRAL</t>
  </si>
  <si>
    <t>PINTURA</t>
  </si>
  <si>
    <t>PINTOR</t>
  </si>
  <si>
    <t>REVISÃO</t>
  </si>
  <si>
    <t>CAIO.248</t>
  </si>
  <si>
    <t>MONTAGEM DO TETO</t>
  </si>
  <si>
    <t>MÓDULOS</t>
  </si>
  <si>
    <t>PREP.270</t>
  </si>
  <si>
    <t>CÉLULA DO PATIM</t>
  </si>
  <si>
    <t>MONTAGEM PATIM</t>
  </si>
  <si>
    <t>Jéssica Soares</t>
  </si>
  <si>
    <t>PREP.280</t>
  </si>
  <si>
    <t>TAMPA DO PISO</t>
  </si>
  <si>
    <t>PREP.145</t>
  </si>
  <si>
    <t>PREPARAÇÃO</t>
  </si>
  <si>
    <t>CARPINTARIA</t>
  </si>
  <si>
    <t>Renan Toledo</t>
  </si>
  <si>
    <t>PREP.100</t>
  </si>
  <si>
    <t>PINTURA PESADO</t>
  </si>
  <si>
    <t>PREP.165</t>
  </si>
  <si>
    <t>ESTRUTURA DA BASE</t>
  </si>
  <si>
    <t>PREP.180</t>
  </si>
  <si>
    <t>CAIO.460</t>
  </si>
  <si>
    <t>CÉLULA DE TAMPAS</t>
  </si>
  <si>
    <t>MONTAGEM TAMPAS</t>
  </si>
  <si>
    <t>CAIO.380</t>
  </si>
  <si>
    <t>CÉLULA TUBULAÇÃO</t>
  </si>
  <si>
    <t>MONTAGEM ANTEPAROS</t>
  </si>
  <si>
    <t>AJUDANTE DE PRODUÇÃO</t>
  </si>
  <si>
    <t>Paula Mineiro</t>
  </si>
  <si>
    <t>CAIO.581</t>
  </si>
  <si>
    <t>CÉLULA DO FAROL</t>
  </si>
  <si>
    <t>CAIO.465</t>
  </si>
  <si>
    <t>REVESTIMENTO TAMPAS DO PISO</t>
  </si>
  <si>
    <t>REVESTIR</t>
  </si>
  <si>
    <t>REVESTIMENTO DO TETO</t>
  </si>
  <si>
    <t>CAIO.195</t>
  </si>
  <si>
    <t>PREP.230</t>
  </si>
  <si>
    <t>CAIXA RODA DO LEVE</t>
  </si>
  <si>
    <t>PREP.050</t>
  </si>
  <si>
    <t>LINHA DO LEVE</t>
  </si>
  <si>
    <t>PREP.060</t>
  </si>
  <si>
    <t>CAIXA RODA PESADO</t>
  </si>
  <si>
    <t>MONTAGEM DE MÓDULOS</t>
  </si>
  <si>
    <t>PREP.003</t>
  </si>
  <si>
    <t>ALONGAMENTO - POS. 4/5</t>
  </si>
  <si>
    <t>ALONGAMENTO</t>
  </si>
  <si>
    <t>Leonardo Borges</t>
  </si>
  <si>
    <t>PREP.005</t>
  </si>
  <si>
    <t>ALONGAMENTO - POS. 2</t>
  </si>
  <si>
    <t>PREP.035</t>
  </si>
  <si>
    <t>LINHA DO PESADO</t>
  </si>
  <si>
    <t>LIXAMENTO E CALAFETAÇÃO</t>
  </si>
  <si>
    <t>PREP.030</t>
  </si>
  <si>
    <t>CHAPEAMENTO</t>
  </si>
  <si>
    <t>PREP.040</t>
  </si>
  <si>
    <t>EMASSAMENTO DO PISO</t>
  </si>
  <si>
    <t>PREP.010</t>
  </si>
  <si>
    <t>MECÂNICA E ELÉTRICA</t>
  </si>
  <si>
    <t>PREP.020</t>
  </si>
  <si>
    <t>POLT.065</t>
  </si>
  <si>
    <t>POLT.060</t>
  </si>
  <si>
    <t>COLAGEM DE ESPUMAS</t>
  </si>
  <si>
    <t>POLT.050</t>
  </si>
  <si>
    <t>PINTURA A PÓ</t>
  </si>
  <si>
    <t>CARREGAMENTO/PREPARAÇÃO/DESCARREGAMENTO</t>
  </si>
  <si>
    <t>POLT.010</t>
  </si>
  <si>
    <t>CURVADEIRA</t>
  </si>
  <si>
    <t>POLT.015</t>
  </si>
  <si>
    <t>PRENSA 80 TON.</t>
  </si>
  <si>
    <t>FATOR TOLERÂNCIA</t>
  </si>
  <si>
    <t>CAIO.150</t>
  </si>
  <si>
    <t>SETOR TESTE</t>
  </si>
  <si>
    <t>ATIVIDADE TESTE</t>
  </si>
  <si>
    <t>FUNÇÃO TESTE</t>
  </si>
  <si>
    <t>24,24%</t>
  </si>
  <si>
    <t>13,20%</t>
  </si>
  <si>
    <t>Umidade excessiva até 40°C</t>
  </si>
  <si>
    <t>Vibração do solo ou máquina</t>
  </si>
  <si>
    <t>18,20%</t>
  </si>
  <si>
    <t>CAIO.100</t>
  </si>
  <si>
    <t>FABRICAÇÃO - LASER</t>
  </si>
  <si>
    <t>CORTE - LASER</t>
  </si>
  <si>
    <t>OPERADOR</t>
  </si>
  <si>
    <t>Guilherme Augusto Sarzi</t>
  </si>
  <si>
    <t>13,80%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</si>
</sst>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2" fillId="0" borderId="0" xfId="0" applyFont="1" applyAlignment="1">
      <alignment horizontal="left" vertical="center"/>
    </xf>
    <xf numFmtId="0" fontId="2" fillId="0" borderId="4" xfId="0" applyFont="1" applyBorder="1"/>
    <xf numFmtId="0" fontId="2" fillId="0" borderId="0" xfId="0" applyFont="1"/>
    <xf numFmtId="0" fontId="2" fillId="0" borderId="2" xfId="0" applyFont="1" applyBorder="1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6" xfId="0" applyFont="1" applyBorder="1"/>
    <xf numFmtId="0" fontId="0" fillId="0" borderId="9" xfId="0" applyBorder="1"/>
    <xf numFmtId="0" fontId="0" fillId="0" borderId="4" xfId="0" applyBorder="1" applyAlignment="1">
      <alignment horizontal="left"/>
    </xf>
    <xf numFmtId="14" fontId="0" fillId="0" borderId="6" xfId="0" applyNumberFormat="1" applyBorder="1" applyAlignment="1">
      <alignment horizontal="left"/>
    </xf>
    <xf numFmtId="0" fontId="2" fillId="0" borderId="5" xfId="0" applyFont="1" applyBorder="1"/>
    <xf numFmtId="0" fontId="0" fillId="0" borderId="8" xfId="0" applyBorder="1" applyAlignment="1">
      <alignment horizontal="left"/>
    </xf>
    <xf numFmtId="0" fontId="1" fillId="0" borderId="3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3" xfId="0" applyFont="1" applyBorder="1"/>
    <xf numFmtId="0" fontId="3" fillId="0" borderId="0" xfId="0" applyFont="1"/>
    <xf numFmtId="0" fontId="0" fillId="0" borderId="0" xfId="0" applyAlignment="1">
      <alignment horizontal="right"/>
    </xf>
    <xf numFmtId="14" fontId="0" fillId="0" borderId="0" xfId="0" applyNumberFormat="1"/>
    <xf numFmtId="0" fontId="0" fillId="0" borderId="8" xfId="0" applyBorder="1" applyAlignment="1">
      <alignment horizontal="right"/>
    </xf>
    <xf numFmtId="0" fontId="4" fillId="3" borderId="0" xfId="0" applyFont="1" applyFill="1" applyAlignment="1">
      <alignment horizontal="center"/>
    </xf>
    <xf numFmtId="0" fontId="5" fillId="0" borderId="0" xfId="0" applyFont="1"/>
    <xf numFmtId="14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0" xfId="0" pivotButton="1" applyBorder="1" applyAlignment="1">
      <alignment horizontal="center"/>
    </xf>
    <xf numFmtId="0" fontId="0" fillId="0" borderId="10" xfId="0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5" fillId="0" borderId="8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1" fillId="0" borderId="5" xfId="0" applyFont="1" applyBorder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0" borderId="1" xfId="0" applyBorder="1" applyAlignment="1">
      <alignment horizontal="center"/>
    </xf>
  </cellXfs>
  <cellStyles count="2">
    <cellStyle name="Normal" xfId="0" builtinId="0"/>
    <cellStyle name="Porcentagem" xfId="1" builtinId="5"/>
  </cellStyles>
  <dxfs count="257"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0.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15</xdr:row>
      <xdr:rowOff>0</xdr:rowOff>
    </xdr:from>
    <xdr:to>
      <xdr:col>15</xdr:col>
      <xdr:colOff>0</xdr:colOff>
      <xdr:row>19</xdr:row>
      <xdr:rowOff>0</xdr:rowOff>
    </xdr:to>
    <xdr:sp macro="[0]!RetânguloCantosArredondados3_Cli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7BB1E82-361C-4EF8-AC26-1FFB3C7E6F72}"/>
            </a:ext>
          </a:extLst>
        </xdr:cNvPr>
        <xdr:cNvSpPr/>
      </xdr:nvSpPr>
      <xdr:spPr>
        <a:xfrm>
          <a:off x="6124575" y="2857500"/>
          <a:ext cx="3048000" cy="762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ABRIR</a:t>
          </a:r>
          <a:r>
            <a:rPr lang="pt-BR" sz="2000" baseline="0"/>
            <a:t> MENU </a:t>
          </a:r>
          <a:endParaRPr lang="pt-BR" sz="2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germano" refreshedDate="44530.330712037037" createdVersion="6" refreshedVersion="6" minRefreshableVersion="3" recordCount="57" xr:uid="{00000000-000A-0000-FFFF-FFFF02000000}">
  <cacheSource type="worksheet">
    <worksheetSource ref="A1:H58" sheet="BaseFator"/>
  </cacheSource>
  <cacheFields count="8">
    <cacheField name="GM" numFmtId="0">
      <sharedItems count="46">
        <s v="CAIO.185"/>
        <s v="CAIO.245"/>
        <s v="CAIO.250"/>
        <s v="CAIO.255"/>
        <s v="CAIO.570"/>
        <s v="CAIO.715"/>
        <s v="CAIO.730"/>
        <s v="POLT.030"/>
        <s v="POLT.070"/>
        <s v="PREP.090"/>
        <s v="PREP.125"/>
        <s v="PREP.140"/>
        <s v="PREP.160"/>
        <s v="CAIO.440"/>
        <s v="CAIO.502"/>
        <s v="CAIO.500"/>
        <s v="CAIO.505"/>
        <s v="CAIO.170"/>
        <s v="CAIO.475"/>
        <s v="CAIO.248"/>
        <s v="PREP.270"/>
        <s v="PREP.280"/>
        <s v="PREP.145"/>
        <s v="PREP.100"/>
        <s v="PREP.165"/>
        <s v="PREP.180"/>
        <s v="CAIO.460"/>
        <s v="CAIO.380"/>
        <s v="CAIO.581"/>
        <s v="CAIO.465"/>
        <s v="CAIO.195"/>
        <s v="PREP.230"/>
        <s v="PREP.050"/>
        <s v="PREP.060"/>
        <s v="PREP.003"/>
        <s v="PREP.005"/>
        <s v="PREP.035"/>
        <s v="PREP.030"/>
        <s v="PREP.040"/>
        <s v="PREP.010"/>
        <s v="PREP.020"/>
        <s v="POLT.065"/>
        <s v="POLT.060"/>
        <s v="POLT.050"/>
        <s v="POLT.010"/>
        <s v="POLT.015"/>
      </sharedItems>
    </cacheField>
    <cacheField name="CENTRO DE CUSTO" numFmtId="0">
      <sharedItems containsSemiMixedTypes="0" containsString="0" containsNumber="1" containsInteger="1" minValue="12104" maxValue="13178"/>
    </cacheField>
    <cacheField name="SETOR" numFmtId="0">
      <sharedItems count="36">
        <s v="SUBCONJUNTO LATERAL"/>
        <s v="DIANTEIRA E TRASEIRA"/>
        <s v="FABRICAÇÃO TETO"/>
        <s v="REVESTIMENTO TETO"/>
        <s v="REVESTIMENTO INTERNO"/>
        <s v="VEDAÇÃO"/>
        <s v="PRÉ-SELO"/>
        <s v="ESTRUTURA POLTRONA"/>
        <s v="TAPEÇARIA"/>
        <s v="SUBCONJUNTO PREPARAÇÃO"/>
        <s v="MONTAGEM DE SUBCONJUNTO"/>
        <s v="CÉLULA DA BASE"/>
        <s v="FUNILARIA"/>
        <s v="ACABAMENTO"/>
        <s v="FRENTE E TRASEIRA"/>
        <s v="PINTURA"/>
        <s v="REVISÃO ELÉTRICA E MECÂNICA"/>
        <s v="MONTAGEM DO TETO"/>
        <s v="CÉLULA DO PATIM"/>
        <s v="TAMPA DO PISO"/>
        <s v="PREPARAÇÃO"/>
        <s v="ESTRUTURA DA BASE"/>
        <s v="CÉLULA DE TAMPAS"/>
        <s v="CÉLULA TUBULAÇÃO"/>
        <s v="CÉLULA DO FAROL"/>
        <s v="REVESTIMENTO TAMPAS DO PISO"/>
        <s v="REVESTIMENTO DO TETO"/>
        <s v="CAIXA RODA DO LEVE"/>
        <s v="LINHA DO LEVE"/>
        <s v="COBERTURA DO MOTOR"/>
        <s v="CAIXA RODA PESADO"/>
        <s v="SUBCONJUNTO"/>
        <s v="ALONGAMENTO - POS. 4/5"/>
        <s v="ALONGAMENTO - POS. 2"/>
        <s v="LINHA DO PESADO"/>
        <s v="PINTURA A PÓ"/>
      </sharedItems>
    </cacheField>
    <cacheField name="ATIVIDADE" numFmtId="0">
      <sharedItems count="37">
        <s v="SOLDAGEM"/>
        <s v="MONTAGEM"/>
        <s v="INSTALAÇÃO DO DUTO"/>
        <s v="TESTE DE VEDAÇÃO"/>
        <s v="REVISÃO ELÉTRICA E MECÂNICA"/>
        <s v="MONTAGEM ESTRUTURA"/>
        <s v="COLAGM DE ESPUMAS"/>
        <s v="CORTE E CUSTURA"/>
        <s v="MONTAGEM MÓDULOS"/>
        <s v="MONTAR CAIXA DE RODA PISO BAIXO"/>
        <s v="COBERTURA DO MOTOR"/>
        <s v="LINHA A/B/C"/>
        <s v="CENTRAL ELÉTRICA"/>
        <s v="BASE DO PAINEL"/>
        <s v="POSIÇÃO 1"/>
        <s v="SUBCONJUNTO"/>
        <s v="PINTURA CENTRAL"/>
        <s v="REVISÃO"/>
        <s v="MÓDULOS"/>
        <s v="MONTAGEM PATIM"/>
        <s v="CARPINTARIA"/>
        <s v="PINTURA PESADO"/>
        <s v="PINTURA"/>
        <s v="MONTAGEM TAMPAS"/>
        <s v="MONTAGEM ANTEPAROS"/>
        <s v="PREPARAÇÃO"/>
        <s v="REVESTIR"/>
        <s v="MONTAGEM DE MÓDULOS"/>
        <s v="ALONGAMENTO"/>
        <s v="LIXAMENTO E CALAFETAÇÃO"/>
        <s v="CHAPEAMENTO"/>
        <s v="EMASSAMENTO DO PISO"/>
        <s v="MECÂNICA E ELÉTRICA"/>
        <s v="COLAGEM DE ESPUMAS"/>
        <s v="CARREGAMENTO/PREPARAÇÃO/DESCARREGAMENTO"/>
        <s v="CURVADEIRA"/>
        <s v="PRENSA 80 TON."/>
      </sharedItems>
    </cacheField>
    <cacheField name="FUNÇÃO" numFmtId="0">
      <sharedItems count="7">
        <s v="SOLDADOR"/>
        <s v="MONTADOR"/>
        <s v="ACABADOR"/>
        <s v="ELETRICISTA / MECÂNICO"/>
        <s v="COSTUREIRA"/>
        <s v="PINTOR"/>
        <s v="AJUDANTE DE PRODUÇÃO"/>
      </sharedItems>
    </cacheField>
    <cacheField name="DATA" numFmtId="14">
      <sharedItems containsSemiMixedTypes="0" containsNonDate="0" containsDate="1" containsString="0" minDate="2019-05-13T00:00:00" maxDate="2021-12-02T00:00:00"/>
    </cacheField>
    <cacheField name="ANALISTA" numFmtId="0">
      <sharedItems/>
    </cacheField>
    <cacheField name="FATOR DE TOLERÂNCIA" numFmtId="10">
      <sharedItems containsSemiMixedTypes="0" containsString="0" containsNumber="1" minValue="8.5999999999999993E-2" maxValue="0.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x v="0"/>
    <n v="12104"/>
    <x v="0"/>
    <x v="0"/>
    <x v="0"/>
    <d v="2019-09-23T00:00:00"/>
    <s v="Thaís Sandre"/>
    <n v="0.23200000000000001"/>
  </r>
  <r>
    <x v="1"/>
    <n v="12104"/>
    <x v="1"/>
    <x v="0"/>
    <x v="0"/>
    <d v="2019-09-23T00:00:00"/>
    <s v="Thaís Sandre"/>
    <n v="0.23200000000000001"/>
  </r>
  <r>
    <x v="2"/>
    <n v="13168"/>
    <x v="2"/>
    <x v="0"/>
    <x v="0"/>
    <d v="2019-09-23T00:00:00"/>
    <s v="Thaís Sandre"/>
    <n v="0.23200000000000001"/>
  </r>
  <r>
    <x v="3"/>
    <n v="13131"/>
    <x v="3"/>
    <x v="1"/>
    <x v="1"/>
    <d v="2019-09-23T00:00:00"/>
    <s v="Bruno Moreira"/>
    <n v="0.21199999999999999"/>
  </r>
  <r>
    <x v="4"/>
    <n v="13161"/>
    <x v="4"/>
    <x v="2"/>
    <x v="1"/>
    <d v="2019-09-23T00:00:00"/>
    <s v="Maicon Germano"/>
    <n v="0.19600000000000001"/>
  </r>
  <r>
    <x v="5"/>
    <n v="13140"/>
    <x v="5"/>
    <x v="3"/>
    <x v="2"/>
    <d v="2019-09-23T00:00:00"/>
    <s v="Thaís Sandre"/>
    <n v="8.5999999999999993E-2"/>
  </r>
  <r>
    <x v="6"/>
    <n v="13131"/>
    <x v="6"/>
    <x v="4"/>
    <x v="3"/>
    <d v="2019-09-02T00:00:00"/>
    <s v="Nathalia Estaneli"/>
    <n v="0.14599999999999999"/>
  </r>
  <r>
    <x v="7"/>
    <n v="13174"/>
    <x v="7"/>
    <x v="5"/>
    <x v="0"/>
    <d v="2019-06-07T00:00:00"/>
    <s v="Rogério Lima"/>
    <n v="0.2339"/>
  </r>
  <r>
    <x v="8"/>
    <n v="13178"/>
    <x v="8"/>
    <x v="1"/>
    <x v="1"/>
    <d v="2019-06-07T00:00:00"/>
    <s v="Rogério Lima"/>
    <n v="0.21840000000000001"/>
  </r>
  <r>
    <x v="8"/>
    <n v="13178"/>
    <x v="8"/>
    <x v="6"/>
    <x v="1"/>
    <d v="2019-06-07T00:00:00"/>
    <s v="Rogério Lima"/>
    <n v="0.188"/>
  </r>
  <r>
    <x v="8"/>
    <n v="13178"/>
    <x v="8"/>
    <x v="7"/>
    <x v="4"/>
    <d v="2019-06-07T00:00:00"/>
    <s v="Rogério Lima"/>
    <n v="0.14000000000000001"/>
  </r>
  <r>
    <x v="9"/>
    <n v="13112"/>
    <x v="9"/>
    <x v="8"/>
    <x v="1"/>
    <d v="2019-05-17T00:00:00"/>
    <s v="Fábio Alves"/>
    <n v="0.23200000000000001"/>
  </r>
  <r>
    <x v="10"/>
    <n v="13112"/>
    <x v="10"/>
    <x v="9"/>
    <x v="0"/>
    <d v="2019-05-15T00:00:00"/>
    <s v="Fábio Alves"/>
    <n v="0.24399999999999999"/>
  </r>
  <r>
    <x v="11"/>
    <n v="13112"/>
    <x v="9"/>
    <x v="10"/>
    <x v="1"/>
    <d v="2019-05-17T00:00:00"/>
    <s v="Fábio Alves"/>
    <n v="0.214"/>
  </r>
  <r>
    <x v="12"/>
    <n v="13166"/>
    <x v="11"/>
    <x v="1"/>
    <x v="1"/>
    <d v="2019-09-26T00:00:00"/>
    <s v="Alexandre Haro"/>
    <n v="0.214"/>
  </r>
  <r>
    <x v="13"/>
    <n v="13119"/>
    <x v="12"/>
    <x v="11"/>
    <x v="1"/>
    <d v="2019-10-03T00:00:00"/>
    <s v="Bruno Moreira"/>
    <n v="0.20499999999999999"/>
  </r>
  <r>
    <x v="14"/>
    <n v="13125"/>
    <x v="4"/>
    <x v="12"/>
    <x v="1"/>
    <d v="2019-10-03T00:00:00"/>
    <s v="Guilherme Nascimento"/>
    <n v="0.20799999999999999"/>
  </r>
  <r>
    <x v="15"/>
    <n v="13125"/>
    <x v="4"/>
    <x v="13"/>
    <x v="1"/>
    <d v="2019-10-03T00:00:00"/>
    <s v="Guilherme Nascimento"/>
    <n v="0.20799999999999999"/>
  </r>
  <r>
    <x v="16"/>
    <n v="13128"/>
    <x v="13"/>
    <x v="14"/>
    <x v="1"/>
    <d v="2019-11-29T00:00:00"/>
    <s v="Maicon Germano"/>
    <n v="0.21609999999999999"/>
  </r>
  <r>
    <x v="17"/>
    <n v="12104"/>
    <x v="14"/>
    <x v="15"/>
    <x v="1"/>
    <d v="2019-05-20T00:00:00"/>
    <s v="Thaís Sandre"/>
    <n v="0.23200000000000001"/>
  </r>
  <r>
    <x v="18"/>
    <n v="13122"/>
    <x v="15"/>
    <x v="16"/>
    <x v="5"/>
    <d v="2020-10-01T00:00:00"/>
    <s v="Nathalia Estaneli"/>
    <n v="0.23200000000000001"/>
  </r>
  <r>
    <x v="6"/>
    <n v="13131"/>
    <x v="16"/>
    <x v="17"/>
    <x v="3"/>
    <d v="2019-09-02T00:00:00"/>
    <s v="Nathalia Estaneli"/>
    <n v="0.14599999999999999"/>
  </r>
  <r>
    <x v="19"/>
    <n v="13168"/>
    <x v="17"/>
    <x v="18"/>
    <x v="1"/>
    <d v="2020-05-12T00:00:00"/>
    <s v="Thaís Sandre"/>
    <n v="0.17799999999999999"/>
  </r>
  <r>
    <x v="20"/>
    <n v="13112"/>
    <x v="18"/>
    <x v="19"/>
    <x v="1"/>
    <d v="2020-09-21T00:00:00"/>
    <s v="Jéssica Soares"/>
    <n v="0.17710000000000001"/>
  </r>
  <r>
    <x v="21"/>
    <n v="13112"/>
    <x v="19"/>
    <x v="1"/>
    <x v="1"/>
    <d v="2020-09-15T00:00:00"/>
    <s v="Jéssica Soares"/>
    <n v="0.1208"/>
  </r>
  <r>
    <x v="22"/>
    <n v="13112"/>
    <x v="20"/>
    <x v="20"/>
    <x v="1"/>
    <d v="2021-08-05T00:00:00"/>
    <s v="Renan Toledo"/>
    <n v="0.2107"/>
  </r>
  <r>
    <x v="23"/>
    <n v="13110"/>
    <x v="15"/>
    <x v="21"/>
    <x v="5"/>
    <d v="2021-07-23T00:00:00"/>
    <s v="Renan Toledo"/>
    <n v="0.2208"/>
  </r>
  <r>
    <x v="24"/>
    <n v="13166"/>
    <x v="21"/>
    <x v="1"/>
    <x v="1"/>
    <d v="2020-11-23T00:00:00"/>
    <s v="Nathalia Estaneli"/>
    <n v="0.14000000000000001"/>
  </r>
  <r>
    <x v="25"/>
    <n v="13166"/>
    <x v="21"/>
    <x v="22"/>
    <x v="5"/>
    <d v="2020-11-23T00:00:00"/>
    <s v="Nathalia Estaneli"/>
    <n v="0.188"/>
  </r>
  <r>
    <x v="24"/>
    <n v="13166"/>
    <x v="21"/>
    <x v="0"/>
    <x v="0"/>
    <d v="2020-11-23T00:00:00"/>
    <s v="Nathalia Estaneli"/>
    <n v="0.218"/>
  </r>
  <r>
    <x v="26"/>
    <n v="13119"/>
    <x v="22"/>
    <x v="23"/>
    <x v="1"/>
    <d v="2020-08-06T00:00:00"/>
    <s v="Nathalia Estaneli"/>
    <n v="0.1676"/>
  </r>
  <r>
    <x v="27"/>
    <n v="13111"/>
    <x v="23"/>
    <x v="24"/>
    <x v="6"/>
    <d v="2020-06-25T00:00:00"/>
    <s v="Paula Mineiro"/>
    <n v="0.11"/>
  </r>
  <r>
    <x v="28"/>
    <n v="13131"/>
    <x v="24"/>
    <x v="25"/>
    <x v="6"/>
    <d v="2020-10-05T00:00:00"/>
    <s v="Alexandre Haro"/>
    <n v="0.14399999999999999"/>
  </r>
  <r>
    <x v="29"/>
    <n v="13125"/>
    <x v="25"/>
    <x v="26"/>
    <x v="6"/>
    <d v="2020-09-14T00:00:00"/>
    <s v="Paula Mineiro"/>
    <n v="0.11"/>
  </r>
  <r>
    <x v="3"/>
    <n v="13131"/>
    <x v="26"/>
    <x v="26"/>
    <x v="6"/>
    <d v="2019-08-13T00:00:00"/>
    <s v="Bruno Moreira"/>
    <n v="0.16839999999999999"/>
  </r>
  <r>
    <x v="30"/>
    <n v="12104"/>
    <x v="0"/>
    <x v="0"/>
    <x v="0"/>
    <d v="2019-05-28T00:00:00"/>
    <s v="Thaís Sandre"/>
    <n v="0.214"/>
  </r>
  <r>
    <x v="24"/>
    <n v="13166"/>
    <x v="21"/>
    <x v="1"/>
    <x v="1"/>
    <d v="2020-11-23T00:00:00"/>
    <s v="Nathalia Estaneli"/>
    <n v="0.14000000000000001"/>
  </r>
  <r>
    <x v="31"/>
    <n v="13112"/>
    <x v="27"/>
    <x v="0"/>
    <x v="0"/>
    <d v="2021-12-01T00:00:00"/>
    <s v="Nathalia Estaneli"/>
    <n v="0.20499999999999999"/>
  </r>
  <r>
    <x v="32"/>
    <n v="13107"/>
    <x v="28"/>
    <x v="1"/>
    <x v="1"/>
    <d v="2020-06-03T00:00:00"/>
    <s v="Jéssica Soares"/>
    <n v="0.20200000000000001"/>
  </r>
  <r>
    <x v="33"/>
    <n v="13113"/>
    <x v="28"/>
    <x v="1"/>
    <x v="0"/>
    <d v="2020-06-03T00:00:00"/>
    <s v="Jéssica Soares"/>
    <n v="0.22"/>
  </r>
  <r>
    <x v="11"/>
    <n v="13112"/>
    <x v="29"/>
    <x v="0"/>
    <x v="0"/>
    <d v="2020-01-21T00:00:00"/>
    <s v="Fábio Alves"/>
    <n v="0.214"/>
  </r>
  <r>
    <x v="10"/>
    <n v="13112"/>
    <x v="30"/>
    <x v="0"/>
    <x v="0"/>
    <d v="2019-05-13T00:00:00"/>
    <s v="Fábio Alves"/>
    <n v="0.24399999999999999"/>
  </r>
  <r>
    <x v="9"/>
    <n v="13112"/>
    <x v="31"/>
    <x v="27"/>
    <x v="0"/>
    <d v="2019-05-17T00:00:00"/>
    <s v="Fábio Alves"/>
    <n v="0.23200000000000001"/>
  </r>
  <r>
    <x v="34"/>
    <n v="13107"/>
    <x v="32"/>
    <x v="28"/>
    <x v="6"/>
    <d v="2019-10-03T00:00:00"/>
    <s v="Leonardo Borges"/>
    <n v="0.13200000000000001"/>
  </r>
  <r>
    <x v="35"/>
    <n v="13107"/>
    <x v="33"/>
    <x v="0"/>
    <x v="0"/>
    <d v="2019-10-03T00:00:00"/>
    <s v="Leonardo Borges"/>
    <n v="0.17399999999999999"/>
  </r>
  <r>
    <x v="36"/>
    <n v="13110"/>
    <x v="34"/>
    <x v="29"/>
    <x v="6"/>
    <d v="2019-11-25T00:00:00"/>
    <s v="Leonardo Borges"/>
    <n v="0.16400000000000001"/>
  </r>
  <r>
    <x v="37"/>
    <n v="13107"/>
    <x v="34"/>
    <x v="30"/>
    <x v="1"/>
    <d v="2019-11-19T00:00:00"/>
    <s v="Leonardo Borges"/>
    <n v="0.2"/>
  </r>
  <r>
    <x v="38"/>
    <n v="13107"/>
    <x v="34"/>
    <x v="31"/>
    <x v="6"/>
    <d v="2019-11-19T00:00:00"/>
    <s v="Leonardo Borges"/>
    <n v="0.13400000000000001"/>
  </r>
  <r>
    <x v="39"/>
    <n v="13107"/>
    <x v="34"/>
    <x v="32"/>
    <x v="3"/>
    <d v="2019-11-19T00:00:00"/>
    <s v="Leonardo Borges"/>
    <n v="0.17599999999999999"/>
  </r>
  <r>
    <x v="40"/>
    <n v="13107"/>
    <x v="34"/>
    <x v="0"/>
    <x v="0"/>
    <d v="2019-11-19T00:00:00"/>
    <s v="Leonardo Borges"/>
    <n v="0.22600000000000001"/>
  </r>
  <r>
    <x v="7"/>
    <n v="13174"/>
    <x v="7"/>
    <x v="0"/>
    <x v="0"/>
    <d v="2019-06-07T00:00:00"/>
    <s v="Rogério Lima"/>
    <n v="0.22389999999999999"/>
  </r>
  <r>
    <x v="41"/>
    <n v="13178"/>
    <x v="8"/>
    <x v="33"/>
    <x v="6"/>
    <d v="2019-06-07T00:00:00"/>
    <s v="Rogério Lima"/>
    <n v="0.188"/>
  </r>
  <r>
    <x v="42"/>
    <n v="13178"/>
    <x v="8"/>
    <x v="7"/>
    <x v="4"/>
    <d v="2019-06-07T00:00:00"/>
    <s v="Rogério Lima"/>
    <n v="0.14000000000000001"/>
  </r>
  <r>
    <x v="8"/>
    <n v="13178"/>
    <x v="8"/>
    <x v="1"/>
    <x v="1"/>
    <d v="2019-06-07T00:00:00"/>
    <s v="Rogério Lima"/>
    <n v="0.21840000000000001"/>
  </r>
  <r>
    <x v="43"/>
    <n v="13176"/>
    <x v="35"/>
    <x v="34"/>
    <x v="6"/>
    <d v="2019-12-05T00:00:00"/>
    <s v="Rogério Lima"/>
    <n v="0.26"/>
  </r>
  <r>
    <x v="44"/>
    <n v="13174"/>
    <x v="7"/>
    <x v="35"/>
    <x v="6"/>
    <d v="2019-12-05T00:00:00"/>
    <s v="Rogério Lima"/>
    <n v="0.1444"/>
  </r>
  <r>
    <x v="45"/>
    <n v="13174"/>
    <x v="7"/>
    <x v="36"/>
    <x v="6"/>
    <d v="2019-12-05T00:00:00"/>
    <s v="Rogério Lima"/>
    <n v="0.1763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1:E56" firstHeaderRow="1" firstDataRow="1" firstDataCol="4"/>
  <pivotFields count="8">
    <pivotField axis="axisRow" compact="0" outline="0" showAll="0" defaultSubtotal="0">
      <items count="46">
        <item x="17"/>
        <item x="0"/>
        <item x="30"/>
        <item x="1"/>
        <item x="19"/>
        <item x="2"/>
        <item x="3"/>
        <item x="27"/>
        <item x="13"/>
        <item x="26"/>
        <item x="29"/>
        <item x="18"/>
        <item x="15"/>
        <item x="14"/>
        <item x="16"/>
        <item x="4"/>
        <item x="28"/>
        <item x="5"/>
        <item x="6"/>
        <item x="44"/>
        <item x="45"/>
        <item x="7"/>
        <item x="43"/>
        <item x="42"/>
        <item x="41"/>
        <item x="8"/>
        <item x="34"/>
        <item x="35"/>
        <item x="39"/>
        <item x="40"/>
        <item x="37"/>
        <item x="36"/>
        <item x="38"/>
        <item x="32"/>
        <item x="33"/>
        <item x="9"/>
        <item x="23"/>
        <item x="10"/>
        <item x="11"/>
        <item x="22"/>
        <item x="12"/>
        <item x="24"/>
        <item x="25"/>
        <item x="31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">
        <item x="13"/>
        <item x="33"/>
        <item x="32"/>
        <item x="27"/>
        <item x="30"/>
        <item x="11"/>
        <item x="22"/>
        <item x="24"/>
        <item x="18"/>
        <item x="23"/>
        <item x="29"/>
        <item x="1"/>
        <item x="21"/>
        <item x="7"/>
        <item x="2"/>
        <item x="14"/>
        <item x="12"/>
        <item x="28"/>
        <item x="34"/>
        <item x="10"/>
        <item x="17"/>
        <item x="15"/>
        <item x="35"/>
        <item x="20"/>
        <item x="6"/>
        <item x="26"/>
        <item x="4"/>
        <item x="25"/>
        <item x="3"/>
        <item x="16"/>
        <item x="31"/>
        <item x="0"/>
        <item x="9"/>
        <item x="19"/>
        <item x="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">
        <item x="28"/>
        <item x="13"/>
        <item x="20"/>
        <item x="34"/>
        <item x="12"/>
        <item x="30"/>
        <item x="10"/>
        <item x="33"/>
        <item x="6"/>
        <item x="7"/>
        <item x="35"/>
        <item x="31"/>
        <item x="2"/>
        <item x="11"/>
        <item x="29"/>
        <item x="32"/>
        <item x="18"/>
        <item x="1"/>
        <item x="24"/>
        <item x="27"/>
        <item x="5"/>
        <item x="8"/>
        <item x="19"/>
        <item x="23"/>
        <item x="9"/>
        <item x="22"/>
        <item x="16"/>
        <item x="21"/>
        <item x="14"/>
        <item x="36"/>
        <item x="25"/>
        <item x="26"/>
        <item x="17"/>
        <item x="4"/>
        <item x="0"/>
        <item x="1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7">
        <item x="2"/>
        <item x="6"/>
        <item x="4"/>
        <item x="3"/>
        <item x="1"/>
        <item x="5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2"/>
    <field x="3"/>
    <field x="4"/>
  </rowFields>
  <rowItems count="55">
    <i>
      <x/>
      <x v="15"/>
      <x v="35"/>
      <x v="4"/>
    </i>
    <i>
      <x v="1"/>
      <x v="31"/>
      <x v="34"/>
      <x v="6"/>
    </i>
    <i>
      <x v="2"/>
      <x v="31"/>
      <x v="34"/>
      <x v="6"/>
    </i>
    <i>
      <x v="3"/>
      <x v="11"/>
      <x v="34"/>
      <x v="6"/>
    </i>
    <i>
      <x v="4"/>
      <x v="20"/>
      <x v="16"/>
      <x v="4"/>
    </i>
    <i>
      <x v="5"/>
      <x v="14"/>
      <x v="34"/>
      <x v="6"/>
    </i>
    <i>
      <x v="6"/>
      <x v="25"/>
      <x v="31"/>
      <x v="1"/>
    </i>
    <i r="1">
      <x v="28"/>
      <x v="17"/>
      <x v="4"/>
    </i>
    <i>
      <x v="7"/>
      <x v="9"/>
      <x v="18"/>
      <x v="1"/>
    </i>
    <i>
      <x v="8"/>
      <x v="16"/>
      <x v="13"/>
      <x v="4"/>
    </i>
    <i>
      <x v="9"/>
      <x v="6"/>
      <x v="23"/>
      <x v="4"/>
    </i>
    <i>
      <x v="10"/>
      <x v="27"/>
      <x v="31"/>
      <x v="1"/>
    </i>
    <i>
      <x v="11"/>
      <x v="21"/>
      <x v="26"/>
      <x v="5"/>
    </i>
    <i>
      <x v="12"/>
      <x v="26"/>
      <x v="1"/>
      <x v="4"/>
    </i>
    <i>
      <x v="13"/>
      <x v="26"/>
      <x v="4"/>
      <x v="4"/>
    </i>
    <i>
      <x v="14"/>
      <x/>
      <x v="28"/>
      <x v="4"/>
    </i>
    <i>
      <x v="15"/>
      <x v="26"/>
      <x v="12"/>
      <x v="4"/>
    </i>
    <i>
      <x v="16"/>
      <x v="7"/>
      <x v="30"/>
      <x v="1"/>
    </i>
    <i>
      <x v="17"/>
      <x v="35"/>
      <x v="36"/>
      <x/>
    </i>
    <i>
      <x v="18"/>
      <x v="24"/>
      <x v="33"/>
      <x v="3"/>
    </i>
    <i r="1">
      <x v="29"/>
      <x v="32"/>
      <x v="3"/>
    </i>
    <i>
      <x v="19"/>
      <x v="13"/>
      <x v="10"/>
      <x v="1"/>
    </i>
    <i>
      <x v="20"/>
      <x v="13"/>
      <x v="29"/>
      <x v="1"/>
    </i>
    <i>
      <x v="21"/>
      <x v="13"/>
      <x v="20"/>
      <x v="6"/>
    </i>
    <i r="2">
      <x v="34"/>
      <x v="6"/>
    </i>
    <i>
      <x v="22"/>
      <x v="22"/>
      <x v="3"/>
      <x v="1"/>
    </i>
    <i>
      <x v="23"/>
      <x v="34"/>
      <x v="9"/>
      <x v="2"/>
    </i>
    <i>
      <x v="24"/>
      <x v="34"/>
      <x v="7"/>
      <x v="1"/>
    </i>
    <i>
      <x v="25"/>
      <x v="34"/>
      <x v="8"/>
      <x v="4"/>
    </i>
    <i r="2">
      <x v="9"/>
      <x v="2"/>
    </i>
    <i r="2">
      <x v="17"/>
      <x v="4"/>
    </i>
    <i>
      <x v="26"/>
      <x v="2"/>
      <x/>
      <x v="1"/>
    </i>
    <i>
      <x v="27"/>
      <x v="1"/>
      <x v="34"/>
      <x v="6"/>
    </i>
    <i>
      <x v="28"/>
      <x v="18"/>
      <x v="15"/>
      <x v="3"/>
    </i>
    <i>
      <x v="29"/>
      <x v="18"/>
      <x v="34"/>
      <x v="6"/>
    </i>
    <i>
      <x v="30"/>
      <x v="18"/>
      <x v="5"/>
      <x v="4"/>
    </i>
    <i>
      <x v="31"/>
      <x v="18"/>
      <x v="14"/>
      <x v="1"/>
    </i>
    <i>
      <x v="32"/>
      <x v="18"/>
      <x v="11"/>
      <x v="1"/>
    </i>
    <i>
      <x v="33"/>
      <x v="17"/>
      <x v="17"/>
      <x v="4"/>
    </i>
    <i>
      <x v="34"/>
      <x v="17"/>
      <x v="17"/>
      <x v="6"/>
    </i>
    <i>
      <x v="35"/>
      <x v="30"/>
      <x v="19"/>
      <x v="6"/>
    </i>
    <i r="1">
      <x v="32"/>
      <x v="21"/>
      <x v="4"/>
    </i>
    <i>
      <x v="36"/>
      <x v="21"/>
      <x v="27"/>
      <x v="5"/>
    </i>
    <i>
      <x v="37"/>
      <x v="4"/>
      <x v="34"/>
      <x v="6"/>
    </i>
    <i r="1">
      <x v="19"/>
      <x v="24"/>
      <x v="6"/>
    </i>
    <i>
      <x v="38"/>
      <x v="10"/>
      <x v="34"/>
      <x v="6"/>
    </i>
    <i r="1">
      <x v="32"/>
      <x v="6"/>
      <x v="4"/>
    </i>
    <i>
      <x v="39"/>
      <x v="23"/>
      <x v="2"/>
      <x v="4"/>
    </i>
    <i>
      <x v="40"/>
      <x v="5"/>
      <x v="17"/>
      <x v="4"/>
    </i>
    <i>
      <x v="41"/>
      <x v="12"/>
      <x v="17"/>
      <x v="4"/>
    </i>
    <i r="2">
      <x v="34"/>
      <x v="6"/>
    </i>
    <i>
      <x v="42"/>
      <x v="12"/>
      <x v="25"/>
      <x v="5"/>
    </i>
    <i>
      <x v="43"/>
      <x v="3"/>
      <x v="34"/>
      <x v="6"/>
    </i>
    <i>
      <x v="44"/>
      <x v="8"/>
      <x v="22"/>
      <x v="4"/>
    </i>
    <i>
      <x v="45"/>
      <x v="33"/>
      <x v="17"/>
      <x v="4"/>
    </i>
  </rowItems>
  <colItems count="1">
    <i/>
  </colItems>
  <dataFields count="1">
    <dataField name="FATOR TOLERÂNCIA" fld="7" subtotal="average" baseField="4" baseItem="4" numFmtId="10"/>
  </dataFields>
  <formats count="250"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0" type="button" dataOnly="0" labelOnly="1" outline="0" axis="axisRow" fieldPosition="0"/>
    </format>
    <format dxfId="246">
      <pivotArea field="3" type="button" dataOnly="0" labelOnly="1" outline="0" axis="axisRow" fieldPosition="2"/>
    </format>
    <format dxfId="245">
      <pivotArea field="4" type="button" dataOnly="0" labelOnly="1" outline="0" axis="axisRow" fieldPosition="3"/>
    </format>
    <format dxfId="244">
      <pivotArea dataOnly="0" labelOnly="1" outline="0" fieldPosition="0">
        <references count="1">
          <reference field="0" count="0"/>
        </references>
      </pivotArea>
    </format>
    <format dxfId="243">
      <pivotArea dataOnly="0" labelOnly="1" outline="0" fieldPosition="0">
        <references count="2">
          <reference field="0" count="1" selected="0">
            <x v="0"/>
          </reference>
          <reference field="3" count="1">
            <x v="35"/>
          </reference>
        </references>
      </pivotArea>
    </format>
    <format dxfId="242">
      <pivotArea dataOnly="0" labelOnly="1" outline="0" fieldPosition="0">
        <references count="2">
          <reference field="0" count="1" selected="0">
            <x v="1"/>
          </reference>
          <reference field="3" count="1">
            <x v="34"/>
          </reference>
        </references>
      </pivotArea>
    </format>
    <format dxfId="241">
      <pivotArea dataOnly="0" labelOnly="1" outline="0" fieldPosition="0">
        <references count="2">
          <reference field="0" count="1" selected="0">
            <x v="4"/>
          </reference>
          <reference field="3" count="1">
            <x v="16"/>
          </reference>
        </references>
      </pivotArea>
    </format>
    <format dxfId="240">
      <pivotArea dataOnly="0" labelOnly="1" outline="0" fieldPosition="0">
        <references count="2">
          <reference field="0" count="1" selected="0">
            <x v="5"/>
          </reference>
          <reference field="3" count="1">
            <x v="34"/>
          </reference>
        </references>
      </pivotArea>
    </format>
    <format dxfId="239">
      <pivotArea dataOnly="0" labelOnly="1" outline="0" fieldPosition="0">
        <references count="2">
          <reference field="0" count="1" selected="0">
            <x v="6"/>
          </reference>
          <reference field="3" count="2">
            <x v="17"/>
            <x v="31"/>
          </reference>
        </references>
      </pivotArea>
    </format>
    <format dxfId="238">
      <pivotArea dataOnly="0" labelOnly="1" outline="0" fieldPosition="0">
        <references count="2">
          <reference field="0" count="1" selected="0">
            <x v="7"/>
          </reference>
          <reference field="3" count="1">
            <x v="18"/>
          </reference>
        </references>
      </pivotArea>
    </format>
    <format dxfId="237">
      <pivotArea dataOnly="0" labelOnly="1" outline="0" fieldPosition="0">
        <references count="2">
          <reference field="0" count="1" selected="0">
            <x v="8"/>
          </reference>
          <reference field="3" count="1">
            <x v="13"/>
          </reference>
        </references>
      </pivotArea>
    </format>
    <format dxfId="236">
      <pivotArea dataOnly="0" labelOnly="1" outline="0" fieldPosition="0">
        <references count="2">
          <reference field="0" count="1" selected="0">
            <x v="9"/>
          </reference>
          <reference field="3" count="1">
            <x v="23"/>
          </reference>
        </references>
      </pivotArea>
    </format>
    <format dxfId="235">
      <pivotArea dataOnly="0" labelOnly="1" outline="0" fieldPosition="0">
        <references count="2">
          <reference field="0" count="1" selected="0">
            <x v="10"/>
          </reference>
          <reference field="3" count="1">
            <x v="31"/>
          </reference>
        </references>
      </pivotArea>
    </format>
    <format dxfId="234">
      <pivotArea dataOnly="0" labelOnly="1" outline="0" fieldPosition="0">
        <references count="2">
          <reference field="0" count="1" selected="0">
            <x v="11"/>
          </reference>
          <reference field="3" count="1">
            <x v="26"/>
          </reference>
        </references>
      </pivotArea>
    </format>
    <format dxfId="233">
      <pivotArea dataOnly="0" labelOnly="1" outline="0" fieldPosition="0">
        <references count="2">
          <reference field="0" count="1" selected="0">
            <x v="12"/>
          </reference>
          <reference field="3" count="1">
            <x v="1"/>
          </reference>
        </references>
      </pivotArea>
    </format>
    <format dxfId="232">
      <pivotArea dataOnly="0" labelOnly="1" outline="0" fieldPosition="0">
        <references count="2">
          <reference field="0" count="1" selected="0">
            <x v="13"/>
          </reference>
          <reference field="3" count="1">
            <x v="4"/>
          </reference>
        </references>
      </pivotArea>
    </format>
    <format dxfId="231">
      <pivotArea dataOnly="0" labelOnly="1" outline="0" fieldPosition="0">
        <references count="2">
          <reference field="0" count="1" selected="0">
            <x v="14"/>
          </reference>
          <reference field="3" count="1">
            <x v="28"/>
          </reference>
        </references>
      </pivotArea>
    </format>
    <format dxfId="230">
      <pivotArea dataOnly="0" labelOnly="1" outline="0" fieldPosition="0">
        <references count="2">
          <reference field="0" count="1" selected="0">
            <x v="15"/>
          </reference>
          <reference field="3" count="1">
            <x v="12"/>
          </reference>
        </references>
      </pivotArea>
    </format>
    <format dxfId="229">
      <pivotArea dataOnly="0" labelOnly="1" outline="0" fieldPosition="0">
        <references count="2">
          <reference field="0" count="1" selected="0">
            <x v="16"/>
          </reference>
          <reference field="3" count="1">
            <x v="30"/>
          </reference>
        </references>
      </pivotArea>
    </format>
    <format dxfId="228">
      <pivotArea dataOnly="0" labelOnly="1" outline="0" fieldPosition="0">
        <references count="2">
          <reference field="0" count="1" selected="0">
            <x v="17"/>
          </reference>
          <reference field="3" count="1">
            <x v="36"/>
          </reference>
        </references>
      </pivotArea>
    </format>
    <format dxfId="227">
      <pivotArea dataOnly="0" labelOnly="1" outline="0" fieldPosition="0">
        <references count="2">
          <reference field="0" count="1" selected="0">
            <x v="18"/>
          </reference>
          <reference field="3" count="2">
            <x v="32"/>
            <x v="33"/>
          </reference>
        </references>
      </pivotArea>
    </format>
    <format dxfId="226">
      <pivotArea dataOnly="0" labelOnly="1" outline="0" fieldPosition="0">
        <references count="2">
          <reference field="0" count="1" selected="0">
            <x v="19"/>
          </reference>
          <reference field="3" count="1">
            <x v="10"/>
          </reference>
        </references>
      </pivotArea>
    </format>
    <format dxfId="225">
      <pivotArea dataOnly="0" labelOnly="1" outline="0" fieldPosition="0">
        <references count="2">
          <reference field="0" count="1" selected="0">
            <x v="20"/>
          </reference>
          <reference field="3" count="1">
            <x v="29"/>
          </reference>
        </references>
      </pivotArea>
    </format>
    <format dxfId="224">
      <pivotArea dataOnly="0" labelOnly="1" outline="0" fieldPosition="0">
        <references count="2">
          <reference field="0" count="1" selected="0">
            <x v="21"/>
          </reference>
          <reference field="3" count="2">
            <x v="20"/>
            <x v="34"/>
          </reference>
        </references>
      </pivotArea>
    </format>
    <format dxfId="223">
      <pivotArea dataOnly="0" labelOnly="1" outline="0" fieldPosition="0">
        <references count="2">
          <reference field="0" count="1" selected="0">
            <x v="22"/>
          </reference>
          <reference field="3" count="1">
            <x v="3"/>
          </reference>
        </references>
      </pivotArea>
    </format>
    <format dxfId="222">
      <pivotArea dataOnly="0" labelOnly="1" outline="0" fieldPosition="0">
        <references count="2">
          <reference field="0" count="1" selected="0">
            <x v="23"/>
          </reference>
          <reference field="3" count="1">
            <x v="9"/>
          </reference>
        </references>
      </pivotArea>
    </format>
    <format dxfId="221">
      <pivotArea dataOnly="0" labelOnly="1" outline="0" fieldPosition="0">
        <references count="2">
          <reference field="0" count="1" selected="0">
            <x v="24"/>
          </reference>
          <reference field="3" count="1">
            <x v="7"/>
          </reference>
        </references>
      </pivotArea>
    </format>
    <format dxfId="220">
      <pivotArea dataOnly="0" labelOnly="1" outline="0" fieldPosition="0">
        <references count="2">
          <reference field="0" count="1" selected="0">
            <x v="25"/>
          </reference>
          <reference field="3" count="3">
            <x v="8"/>
            <x v="9"/>
            <x v="17"/>
          </reference>
        </references>
      </pivotArea>
    </format>
    <format dxfId="219">
      <pivotArea dataOnly="0" labelOnly="1" outline="0" fieldPosition="0">
        <references count="2">
          <reference field="0" count="1" selected="0">
            <x v="26"/>
          </reference>
          <reference field="3" count="1">
            <x v="0"/>
          </reference>
        </references>
      </pivotArea>
    </format>
    <format dxfId="218">
      <pivotArea dataOnly="0" labelOnly="1" outline="0" fieldPosition="0">
        <references count="2">
          <reference field="0" count="1" selected="0">
            <x v="27"/>
          </reference>
          <reference field="3" count="1">
            <x v="34"/>
          </reference>
        </references>
      </pivotArea>
    </format>
    <format dxfId="217">
      <pivotArea dataOnly="0" labelOnly="1" outline="0" fieldPosition="0">
        <references count="2">
          <reference field="0" count="1" selected="0">
            <x v="28"/>
          </reference>
          <reference field="3" count="1">
            <x v="15"/>
          </reference>
        </references>
      </pivotArea>
    </format>
    <format dxfId="216">
      <pivotArea dataOnly="0" labelOnly="1" outline="0" fieldPosition="0">
        <references count="2">
          <reference field="0" count="1" selected="0">
            <x v="29"/>
          </reference>
          <reference field="3" count="1">
            <x v="34"/>
          </reference>
        </references>
      </pivotArea>
    </format>
    <format dxfId="215">
      <pivotArea dataOnly="0" labelOnly="1" outline="0" fieldPosition="0">
        <references count="2">
          <reference field="0" count="1" selected="0">
            <x v="30"/>
          </reference>
          <reference field="3" count="1">
            <x v="5"/>
          </reference>
        </references>
      </pivotArea>
    </format>
    <format dxfId="214">
      <pivotArea dataOnly="0" labelOnly="1" outline="0" fieldPosition="0">
        <references count="2">
          <reference field="0" count="1" selected="0">
            <x v="31"/>
          </reference>
          <reference field="3" count="1">
            <x v="14"/>
          </reference>
        </references>
      </pivotArea>
    </format>
    <format dxfId="213">
      <pivotArea dataOnly="0" labelOnly="1" outline="0" fieldPosition="0">
        <references count="2">
          <reference field="0" count="1" selected="0">
            <x v="32"/>
          </reference>
          <reference field="3" count="1">
            <x v="11"/>
          </reference>
        </references>
      </pivotArea>
    </format>
    <format dxfId="212">
      <pivotArea dataOnly="0" labelOnly="1" outline="0" fieldPosition="0">
        <references count="2">
          <reference field="0" count="1" selected="0">
            <x v="33"/>
          </reference>
          <reference field="3" count="1">
            <x v="17"/>
          </reference>
        </references>
      </pivotArea>
    </format>
    <format dxfId="211">
      <pivotArea dataOnly="0" labelOnly="1" outline="0" fieldPosition="0">
        <references count="2">
          <reference field="0" count="1" selected="0">
            <x v="35"/>
          </reference>
          <reference field="3" count="2">
            <x v="19"/>
            <x v="21"/>
          </reference>
        </references>
      </pivotArea>
    </format>
    <format dxfId="210">
      <pivotArea dataOnly="0" labelOnly="1" outline="0" fieldPosition="0">
        <references count="2">
          <reference field="0" count="1" selected="0">
            <x v="36"/>
          </reference>
          <reference field="3" count="1">
            <x v="27"/>
          </reference>
        </references>
      </pivotArea>
    </format>
    <format dxfId="209">
      <pivotArea dataOnly="0" labelOnly="1" outline="0" fieldPosition="0">
        <references count="2">
          <reference field="0" count="1" selected="0">
            <x v="37"/>
          </reference>
          <reference field="3" count="2">
            <x v="24"/>
            <x v="34"/>
          </reference>
        </references>
      </pivotArea>
    </format>
    <format dxfId="208">
      <pivotArea dataOnly="0" labelOnly="1" outline="0" fieldPosition="0">
        <references count="2">
          <reference field="0" count="1" selected="0">
            <x v="38"/>
          </reference>
          <reference field="3" count="2">
            <x v="6"/>
            <x v="34"/>
          </reference>
        </references>
      </pivotArea>
    </format>
    <format dxfId="207">
      <pivotArea dataOnly="0" labelOnly="1" outline="0" fieldPosition="0">
        <references count="2">
          <reference field="0" count="1" selected="0">
            <x v="39"/>
          </reference>
          <reference field="3" count="1">
            <x v="2"/>
          </reference>
        </references>
      </pivotArea>
    </format>
    <format dxfId="206">
      <pivotArea dataOnly="0" labelOnly="1" outline="0" fieldPosition="0">
        <references count="2">
          <reference field="0" count="1" selected="0">
            <x v="40"/>
          </reference>
          <reference field="3" count="1">
            <x v="17"/>
          </reference>
        </references>
      </pivotArea>
    </format>
    <format dxfId="205">
      <pivotArea dataOnly="0" labelOnly="1" outline="0" fieldPosition="0">
        <references count="2">
          <reference field="0" count="1" selected="0">
            <x v="41"/>
          </reference>
          <reference field="3" count="1">
            <x v="34"/>
          </reference>
        </references>
      </pivotArea>
    </format>
    <format dxfId="204">
      <pivotArea dataOnly="0" labelOnly="1" outline="0" fieldPosition="0">
        <references count="2">
          <reference field="0" count="1" selected="0">
            <x v="42"/>
          </reference>
          <reference field="3" count="1">
            <x v="25"/>
          </reference>
        </references>
      </pivotArea>
    </format>
    <format dxfId="203">
      <pivotArea dataOnly="0" labelOnly="1" outline="0" fieldPosition="0">
        <references count="2">
          <reference field="0" count="1" selected="0">
            <x v="43"/>
          </reference>
          <reference field="3" count="1">
            <x v="34"/>
          </reference>
        </references>
      </pivotArea>
    </format>
    <format dxfId="202">
      <pivotArea dataOnly="0" labelOnly="1" outline="0" fieldPosition="0">
        <references count="2">
          <reference field="0" count="1" selected="0">
            <x v="44"/>
          </reference>
          <reference field="3" count="1">
            <x v="22"/>
          </reference>
        </references>
      </pivotArea>
    </format>
    <format dxfId="201">
      <pivotArea dataOnly="0" labelOnly="1" outline="0" fieldPosition="0">
        <references count="2">
          <reference field="0" count="1" selected="0">
            <x v="45"/>
          </reference>
          <reference field="3" count="1">
            <x v="17"/>
          </reference>
        </references>
      </pivotArea>
    </format>
    <format dxfId="200">
      <pivotArea dataOnly="0" labelOnly="1" outline="0" fieldPosition="0">
        <references count="3">
          <reference field="0" count="1" selected="0">
            <x v="0"/>
          </reference>
          <reference field="3" count="1" selected="0">
            <x v="35"/>
          </reference>
          <reference field="4" count="1">
            <x v="4"/>
          </reference>
        </references>
      </pivotArea>
    </format>
    <format dxfId="199">
      <pivotArea dataOnly="0" labelOnly="1" outline="0" fieldPosition="0">
        <references count="3">
          <reference field="0" count="1" selected="0">
            <x v="1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98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97">
      <pivotArea dataOnly="0" labelOnly="1" outline="0" fieldPosition="0">
        <references count="3">
          <reference field="0" count="1" selected="0">
            <x v="3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96">
      <pivotArea dataOnly="0" labelOnly="1" outline="0" fieldPosition="0">
        <references count="3">
          <reference field="0" count="1" selected="0">
            <x v="4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195">
      <pivotArea dataOnly="0" labelOnly="1" outline="0" fieldPosition="0">
        <references count="3">
          <reference field="0" count="1" selected="0">
            <x v="5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94">
      <pivotArea dataOnly="0" labelOnly="1" outline="0" fieldPosition="0">
        <references count="3">
          <reference field="0" count="1" selected="0">
            <x v="6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193">
      <pivotArea dataOnly="0" labelOnly="1" outline="0" fieldPosition="0">
        <references count="3">
          <reference field="0" count="1" selected="0">
            <x v="6"/>
          </reference>
          <reference field="3" count="1" selected="0">
            <x v="31"/>
          </reference>
          <reference field="4" count="1">
            <x v="1"/>
          </reference>
        </references>
      </pivotArea>
    </format>
    <format dxfId="192">
      <pivotArea dataOnly="0" labelOnly="1" outline="0" fieldPosition="0">
        <references count="3">
          <reference field="0" count="1" selected="0">
            <x v="7"/>
          </reference>
          <reference field="3" count="1" selected="0">
            <x v="18"/>
          </reference>
          <reference field="4" count="1">
            <x v="1"/>
          </reference>
        </references>
      </pivotArea>
    </format>
    <format dxfId="191">
      <pivotArea dataOnly="0" labelOnly="1" outline="0" fieldPosition="0">
        <references count="3">
          <reference field="0" count="1" selected="0">
            <x v="8"/>
          </reference>
          <reference field="3" count="1" selected="0">
            <x v="13"/>
          </reference>
          <reference field="4" count="1">
            <x v="4"/>
          </reference>
        </references>
      </pivotArea>
    </format>
    <format dxfId="190">
      <pivotArea dataOnly="0" labelOnly="1" outline="0" fieldPosition="0">
        <references count="3">
          <reference field="0" count="1" selected="0">
            <x v="9"/>
          </reference>
          <reference field="3" count="1" selected="0">
            <x v="23"/>
          </reference>
          <reference field="4" count="1">
            <x v="4"/>
          </reference>
        </references>
      </pivotArea>
    </format>
    <format dxfId="189">
      <pivotArea dataOnly="0" labelOnly="1" outline="0" fieldPosition="0">
        <references count="3">
          <reference field="0" count="1" selected="0">
            <x v="10"/>
          </reference>
          <reference field="3" count="1" selected="0">
            <x v="31"/>
          </reference>
          <reference field="4" count="1">
            <x v="1"/>
          </reference>
        </references>
      </pivotArea>
    </format>
    <format dxfId="188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26"/>
          </reference>
          <reference field="4" count="1">
            <x v="5"/>
          </reference>
        </references>
      </pivotArea>
    </format>
    <format dxfId="187">
      <pivotArea dataOnly="0" labelOnly="1" outline="0" fieldPosition="0">
        <references count="3">
          <reference field="0" count="1" selected="0">
            <x v="12"/>
          </reference>
          <reference field="3" count="1" selected="0">
            <x v="1"/>
          </reference>
          <reference field="4" count="1">
            <x v="4"/>
          </reference>
        </references>
      </pivotArea>
    </format>
    <format dxfId="186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4"/>
          </reference>
          <reference field="4" count="1">
            <x v="4"/>
          </reference>
        </references>
      </pivotArea>
    </format>
    <format dxfId="185">
      <pivotArea dataOnly="0" labelOnly="1" outline="0" fieldPosition="0">
        <references count="3">
          <reference field="0" count="1" selected="0">
            <x v="14"/>
          </reference>
          <reference field="3" count="1" selected="0">
            <x v="28"/>
          </reference>
          <reference field="4" count="1">
            <x v="4"/>
          </reference>
        </references>
      </pivotArea>
    </format>
    <format dxfId="184">
      <pivotArea dataOnly="0" labelOnly="1" outline="0" fieldPosition="0">
        <references count="3">
          <reference field="0" count="1" selected="0">
            <x v="15"/>
          </reference>
          <reference field="3" count="1" selected="0">
            <x v="12"/>
          </reference>
          <reference field="4" count="1">
            <x v="4"/>
          </reference>
        </references>
      </pivotArea>
    </format>
    <format dxfId="183">
      <pivotArea dataOnly="0" labelOnly="1" outline="0" fieldPosition="0">
        <references count="3">
          <reference field="0" count="1" selected="0">
            <x v="16"/>
          </reference>
          <reference field="3" count="1" selected="0">
            <x v="30"/>
          </reference>
          <reference field="4" count="1">
            <x v="1"/>
          </reference>
        </references>
      </pivotArea>
    </format>
    <format dxfId="182">
      <pivotArea dataOnly="0" labelOnly="1" outline="0" fieldPosition="0">
        <references count="3">
          <reference field="0" count="1" selected="0">
            <x v="17"/>
          </reference>
          <reference field="3" count="1" selected="0">
            <x v="36"/>
          </reference>
          <reference field="4" count="1">
            <x v="0"/>
          </reference>
        </references>
      </pivotArea>
    </format>
    <format dxfId="181">
      <pivotArea dataOnly="0" labelOnly="1" outline="0" fieldPosition="0">
        <references count="3">
          <reference field="0" count="1" selected="0">
            <x v="18"/>
          </reference>
          <reference field="3" count="1" selected="0">
            <x v="32"/>
          </reference>
          <reference field="4" count="1">
            <x v="3"/>
          </reference>
        </references>
      </pivotArea>
    </format>
    <format dxfId="180">
      <pivotArea dataOnly="0" labelOnly="1" outline="0" fieldPosition="0">
        <references count="3">
          <reference field="0" count="1" selected="0">
            <x v="18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79">
      <pivotArea dataOnly="0" labelOnly="1" outline="0" fieldPosition="0">
        <references count="3">
          <reference field="0" count="1" selected="0">
            <x v="19"/>
          </reference>
          <reference field="3" count="1" selected="0">
            <x v="10"/>
          </reference>
          <reference field="4" count="1">
            <x v="1"/>
          </reference>
        </references>
      </pivotArea>
    </format>
    <format dxfId="178">
      <pivotArea dataOnly="0" labelOnly="1" outline="0" fieldPosition="0">
        <references count="3">
          <reference field="0" count="1" selected="0">
            <x v="20"/>
          </reference>
          <reference field="3" count="1" selected="0">
            <x v="29"/>
          </reference>
          <reference field="4" count="1">
            <x v="1"/>
          </reference>
        </references>
      </pivotArea>
    </format>
    <format dxfId="177">
      <pivotArea dataOnly="0" labelOnly="1" outline="0" fieldPosition="0">
        <references count="3">
          <reference field="0" count="1" selected="0">
            <x v="21"/>
          </reference>
          <reference field="3" count="1" selected="0">
            <x v="20"/>
          </reference>
          <reference field="4" count="1">
            <x v="6"/>
          </reference>
        </references>
      </pivotArea>
    </format>
    <format dxfId="176">
      <pivotArea dataOnly="0" labelOnly="1" outline="0" fieldPosition="0">
        <references count="3">
          <reference field="0" count="1" selected="0">
            <x v="21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75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3"/>
          </reference>
          <reference field="4" count="1">
            <x v="1"/>
          </reference>
        </references>
      </pivotArea>
    </format>
    <format dxfId="174">
      <pivotArea dataOnly="0" labelOnly="1" outline="0" fieldPosition="0">
        <references count="3">
          <reference field="0" count="1" selected="0">
            <x v="23"/>
          </reference>
          <reference field="3" count="1" selected="0">
            <x v="9"/>
          </reference>
          <reference field="4" count="1">
            <x v="2"/>
          </reference>
        </references>
      </pivotArea>
    </format>
    <format dxfId="173">
      <pivotArea dataOnly="0" labelOnly="1" outline="0" fieldPosition="0">
        <references count="3">
          <reference field="0" count="1" selected="0">
            <x v="24"/>
          </reference>
          <reference field="3" count="1" selected="0">
            <x v="7"/>
          </reference>
          <reference field="4" count="1">
            <x v="1"/>
          </reference>
        </references>
      </pivotArea>
    </format>
    <format dxfId="172">
      <pivotArea dataOnly="0" labelOnly="1" outline="0" fieldPosition="0">
        <references count="3">
          <reference field="0" count="1" selected="0">
            <x v="25"/>
          </reference>
          <reference field="3" count="1" selected="0">
            <x v="8"/>
          </reference>
          <reference field="4" count="1">
            <x v="4"/>
          </reference>
        </references>
      </pivotArea>
    </format>
    <format dxfId="171">
      <pivotArea dataOnly="0" labelOnly="1" outline="0" fieldPosition="0">
        <references count="3">
          <reference field="0" count="1" selected="0">
            <x v="25"/>
          </reference>
          <reference field="3" count="1" selected="0">
            <x v="9"/>
          </reference>
          <reference field="4" count="1">
            <x v="2"/>
          </reference>
        </references>
      </pivotArea>
    </format>
    <format dxfId="170">
      <pivotArea dataOnly="0" labelOnly="1" outline="0" fieldPosition="0">
        <references count="3">
          <reference field="0" count="1" selected="0">
            <x v="25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169">
      <pivotArea dataOnly="0" labelOnly="1" outline="0" fieldPosition="0">
        <references count="3">
          <reference field="0" count="1" selected="0">
            <x v="26"/>
          </reference>
          <reference field="3" count="1" selected="0">
            <x v="0"/>
          </reference>
          <reference field="4" count="1">
            <x v="1"/>
          </reference>
        </references>
      </pivotArea>
    </format>
    <format dxfId="168">
      <pivotArea dataOnly="0" labelOnly="1" outline="0" fieldPosition="0">
        <references count="3">
          <reference field="0" count="1" selected="0">
            <x v="27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67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15"/>
          </reference>
          <reference field="4" count="1">
            <x v="3"/>
          </reference>
        </references>
      </pivotArea>
    </format>
    <format dxfId="166">
      <pivotArea dataOnly="0" labelOnly="1" outline="0" fieldPosition="0">
        <references count="3">
          <reference field="0" count="1" selected="0">
            <x v="29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65">
      <pivotArea dataOnly="0" labelOnly="1" outline="0" fieldPosition="0">
        <references count="3">
          <reference field="0" count="1" selected="0">
            <x v="30"/>
          </reference>
          <reference field="3" count="1" selected="0">
            <x v="5"/>
          </reference>
          <reference field="4" count="1">
            <x v="4"/>
          </reference>
        </references>
      </pivotArea>
    </format>
    <format dxfId="164">
      <pivotArea dataOnly="0" labelOnly="1" outline="0" fieldPosition="0">
        <references count="3">
          <reference field="0" count="1" selected="0">
            <x v="31"/>
          </reference>
          <reference field="3" count="1" selected="0">
            <x v="14"/>
          </reference>
          <reference field="4" count="1">
            <x v="1"/>
          </reference>
        </references>
      </pivotArea>
    </format>
    <format dxfId="163">
      <pivotArea dataOnly="0" labelOnly="1" outline="0" fieldPosition="0">
        <references count="3">
          <reference field="0" count="1" selected="0">
            <x v="32"/>
          </reference>
          <reference field="3" count="1" selected="0">
            <x v="11"/>
          </reference>
          <reference field="4" count="1">
            <x v="1"/>
          </reference>
        </references>
      </pivotArea>
    </format>
    <format dxfId="162">
      <pivotArea dataOnly="0" labelOnly="1" outline="0" fieldPosition="0">
        <references count="3">
          <reference field="0" count="1" selected="0">
            <x v="33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161">
      <pivotArea dataOnly="0" labelOnly="1" outline="0" fieldPosition="0">
        <references count="3">
          <reference field="0" count="1" selected="0">
            <x v="34"/>
          </reference>
          <reference field="3" count="1" selected="0">
            <x v="17"/>
          </reference>
          <reference field="4" count="1">
            <x v="6"/>
          </reference>
        </references>
      </pivotArea>
    </format>
    <format dxfId="160">
      <pivotArea dataOnly="0" labelOnly="1" outline="0" fieldPosition="0">
        <references count="3">
          <reference field="0" count="1" selected="0">
            <x v="35"/>
          </reference>
          <reference field="3" count="1" selected="0">
            <x v="19"/>
          </reference>
          <reference field="4" count="1">
            <x v="6"/>
          </reference>
        </references>
      </pivotArea>
    </format>
    <format dxfId="159">
      <pivotArea dataOnly="0" labelOnly="1" outline="0" fieldPosition="0">
        <references count="3">
          <reference field="0" count="1" selected="0">
            <x v="35"/>
          </reference>
          <reference field="3" count="1" selected="0">
            <x v="21"/>
          </reference>
          <reference field="4" count="1">
            <x v="4"/>
          </reference>
        </references>
      </pivotArea>
    </format>
    <format dxfId="158">
      <pivotArea dataOnly="0" labelOnly="1" outline="0" fieldPosition="0">
        <references count="3">
          <reference field="0" count="1" selected="0">
            <x v="36"/>
          </reference>
          <reference field="3" count="1" selected="0">
            <x v="27"/>
          </reference>
          <reference field="4" count="1">
            <x v="5"/>
          </reference>
        </references>
      </pivotArea>
    </format>
    <format dxfId="157">
      <pivotArea dataOnly="0" labelOnly="1" outline="0" fieldPosition="0">
        <references count="3">
          <reference field="0" count="1" selected="0">
            <x v="37"/>
          </reference>
          <reference field="3" count="1" selected="0">
            <x v="24"/>
          </reference>
          <reference field="4" count="1">
            <x v="6"/>
          </reference>
        </references>
      </pivotArea>
    </format>
    <format dxfId="156">
      <pivotArea dataOnly="0" labelOnly="1" outline="0" fieldPosition="0">
        <references count="3">
          <reference field="0" count="1" selected="0">
            <x v="37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55">
      <pivotArea dataOnly="0" labelOnly="1" outline="0" fieldPosition="0">
        <references count="3">
          <reference field="0" count="1" selected="0">
            <x v="38"/>
          </reference>
          <reference field="3" count="1" selected="0">
            <x v="6"/>
          </reference>
          <reference field="4" count="1">
            <x v="4"/>
          </reference>
        </references>
      </pivotArea>
    </format>
    <format dxfId="154">
      <pivotArea dataOnly="0" labelOnly="1" outline="0" fieldPosition="0">
        <references count="3">
          <reference field="0" count="1" selected="0">
            <x v="38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53">
      <pivotArea dataOnly="0" labelOnly="1" outline="0" fieldPosition="0">
        <references count="3">
          <reference field="0" count="1" selected="0">
            <x v="39"/>
          </reference>
          <reference field="3" count="1" selected="0">
            <x v="2"/>
          </reference>
          <reference field="4" count="1">
            <x v="4"/>
          </reference>
        </references>
      </pivotArea>
    </format>
    <format dxfId="152">
      <pivotArea dataOnly="0" labelOnly="1" outline="0" fieldPosition="0">
        <references count="3">
          <reference field="0" count="1" selected="0">
            <x v="40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151">
      <pivotArea dataOnly="0" labelOnly="1" outline="0" fieldPosition="0">
        <references count="3">
          <reference field="0" count="1" selected="0">
            <x v="41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150">
      <pivotArea dataOnly="0" labelOnly="1" outline="0" fieldPosition="0">
        <references count="3">
          <reference field="0" count="1" selected="0">
            <x v="41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49">
      <pivotArea dataOnly="0" labelOnly="1" outline="0" fieldPosition="0">
        <references count="3">
          <reference field="0" count="1" selected="0">
            <x v="42"/>
          </reference>
          <reference field="3" count="1" selected="0">
            <x v="25"/>
          </reference>
          <reference field="4" count="1">
            <x v="5"/>
          </reference>
        </references>
      </pivotArea>
    </format>
    <format dxfId="148">
      <pivotArea dataOnly="0" labelOnly="1" outline="0" fieldPosition="0">
        <references count="3">
          <reference field="0" count="1" selected="0">
            <x v="43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44"/>
          </reference>
          <reference field="3" count="1" selected="0">
            <x v="22"/>
          </reference>
          <reference field="4" count="1">
            <x v="4"/>
          </reference>
        </references>
      </pivotArea>
    </format>
    <format dxfId="146">
      <pivotArea dataOnly="0" labelOnly="1" outline="0" fieldPosition="0">
        <references count="3">
          <reference field="0" count="1" selected="0">
            <x v="45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145">
      <pivotArea dataOnly="0" labelOnly="1" outline="0" axis="axisValues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0" type="button" dataOnly="0" labelOnly="1" outline="0" axis="axisRow" fieldPosition="0"/>
    </format>
    <format dxfId="141">
      <pivotArea field="2" type="button" dataOnly="0" labelOnly="1" outline="0" axis="axisRow" fieldPosition="1"/>
    </format>
    <format dxfId="140">
      <pivotArea field="3" type="button" dataOnly="0" labelOnly="1" outline="0" axis="axisRow" fieldPosition="2"/>
    </format>
    <format dxfId="139">
      <pivotArea field="4" type="button" dataOnly="0" labelOnly="1" outline="0" axis="axisRow" fieldPosition="3"/>
    </format>
    <format dxfId="138">
      <pivotArea dataOnly="0" labelOnly="1" outline="0" fieldPosition="0">
        <references count="1">
          <reference field="0" count="0"/>
        </references>
      </pivotArea>
    </format>
    <format dxfId="137">
      <pivotArea dataOnly="0" labelOnly="1" outline="0" fieldPosition="0">
        <references count="2">
          <reference field="0" count="1" selected="0">
            <x v="0"/>
          </reference>
          <reference field="2" count="1">
            <x v="15"/>
          </reference>
        </references>
      </pivotArea>
    </format>
    <format dxfId="136">
      <pivotArea dataOnly="0" labelOnly="1" outline="0" fieldPosition="0">
        <references count="2">
          <reference field="0" count="1" selected="0">
            <x v="1"/>
          </reference>
          <reference field="2" count="1">
            <x v="31"/>
          </reference>
        </references>
      </pivotArea>
    </format>
    <format dxfId="135">
      <pivotArea dataOnly="0" labelOnly="1" outline="0" fieldPosition="0">
        <references count="2">
          <reference field="0" count="1" selected="0">
            <x v="3"/>
          </reference>
          <reference field="2" count="1">
            <x v="11"/>
          </reference>
        </references>
      </pivotArea>
    </format>
    <format dxfId="134">
      <pivotArea dataOnly="0" labelOnly="1" outline="0" fieldPosition="0">
        <references count="2">
          <reference field="0" count="1" selected="0">
            <x v="4"/>
          </reference>
          <reference field="2" count="1">
            <x v="20"/>
          </reference>
        </references>
      </pivotArea>
    </format>
    <format dxfId="133">
      <pivotArea dataOnly="0" labelOnly="1" outline="0" fieldPosition="0">
        <references count="2">
          <reference field="0" count="1" selected="0">
            <x v="5"/>
          </reference>
          <reference field="2" count="1">
            <x v="14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6"/>
          </reference>
          <reference field="2" count="2">
            <x v="25"/>
            <x v="28"/>
          </reference>
        </references>
      </pivotArea>
    </format>
    <format dxfId="131">
      <pivotArea dataOnly="0" labelOnly="1" outline="0" fieldPosition="0">
        <references count="2">
          <reference field="0" count="1" selected="0">
            <x v="7"/>
          </reference>
          <reference field="2" count="1">
            <x v="9"/>
          </reference>
        </references>
      </pivotArea>
    </format>
    <format dxfId="130">
      <pivotArea dataOnly="0" labelOnly="1" outline="0" fieldPosition="0">
        <references count="2">
          <reference field="0" count="1" selected="0">
            <x v="8"/>
          </reference>
          <reference field="2" count="1">
            <x v="16"/>
          </reference>
        </references>
      </pivotArea>
    </format>
    <format dxfId="129">
      <pivotArea dataOnly="0" labelOnly="1" outline="0" fieldPosition="0">
        <references count="2">
          <reference field="0" count="1" selected="0">
            <x v="9"/>
          </reference>
          <reference field="2" count="1">
            <x v="6"/>
          </reference>
        </references>
      </pivotArea>
    </format>
    <format dxfId="128">
      <pivotArea dataOnly="0" labelOnly="1" outline="0" fieldPosition="0">
        <references count="2">
          <reference field="0" count="1" selected="0">
            <x v="10"/>
          </reference>
          <reference field="2" count="1">
            <x v="27"/>
          </reference>
        </references>
      </pivotArea>
    </format>
    <format dxfId="127">
      <pivotArea dataOnly="0" labelOnly="1" outline="0" fieldPosition="0">
        <references count="2">
          <reference field="0" count="1" selected="0">
            <x v="11"/>
          </reference>
          <reference field="2" count="1">
            <x v="21"/>
          </reference>
        </references>
      </pivotArea>
    </format>
    <format dxfId="126">
      <pivotArea dataOnly="0" labelOnly="1" outline="0" fieldPosition="0">
        <references count="2">
          <reference field="0" count="1" selected="0">
            <x v="12"/>
          </reference>
          <reference field="2" count="1">
            <x v="26"/>
          </reference>
        </references>
      </pivotArea>
    </format>
    <format dxfId="125">
      <pivotArea dataOnly="0" labelOnly="1" outline="0" fieldPosition="0">
        <references count="2">
          <reference field="0" count="1" selected="0">
            <x v="14"/>
          </reference>
          <reference field="2" count="1">
            <x v="0"/>
          </reference>
        </references>
      </pivotArea>
    </format>
    <format dxfId="124">
      <pivotArea dataOnly="0" labelOnly="1" outline="0" fieldPosition="0">
        <references count="2">
          <reference field="0" count="1" selected="0">
            <x v="15"/>
          </reference>
          <reference field="2" count="1">
            <x v="26"/>
          </reference>
        </references>
      </pivotArea>
    </format>
    <format dxfId="123">
      <pivotArea dataOnly="0" labelOnly="1" outline="0" fieldPosition="0">
        <references count="2">
          <reference field="0" count="1" selected="0">
            <x v="16"/>
          </reference>
          <reference field="2" count="1">
            <x v="7"/>
          </reference>
        </references>
      </pivotArea>
    </format>
    <format dxfId="122">
      <pivotArea dataOnly="0" labelOnly="1" outline="0" fieldPosition="0">
        <references count="2">
          <reference field="0" count="1" selected="0">
            <x v="17"/>
          </reference>
          <reference field="2" count="1">
            <x v="35"/>
          </reference>
        </references>
      </pivotArea>
    </format>
    <format dxfId="121">
      <pivotArea dataOnly="0" labelOnly="1" outline="0" fieldPosition="0">
        <references count="2">
          <reference field="0" count="1" selected="0">
            <x v="18"/>
          </reference>
          <reference field="2" count="2">
            <x v="24"/>
            <x v="29"/>
          </reference>
        </references>
      </pivotArea>
    </format>
    <format dxfId="120">
      <pivotArea dataOnly="0" labelOnly="1" outline="0" fieldPosition="0">
        <references count="2">
          <reference field="0" count="1" selected="0">
            <x v="19"/>
          </reference>
          <reference field="2" count="1">
            <x v="13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22"/>
          </reference>
          <reference field="2" count="1">
            <x v="22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23"/>
          </reference>
          <reference field="2" count="1">
            <x v="34"/>
          </reference>
        </references>
      </pivotArea>
    </format>
    <format dxfId="117">
      <pivotArea dataOnly="0" labelOnly="1" outline="0" fieldPosition="0">
        <references count="2">
          <reference field="0" count="1" selected="0">
            <x v="26"/>
          </reference>
          <reference field="2" count="1">
            <x v="2"/>
          </reference>
        </references>
      </pivotArea>
    </format>
    <format dxfId="116">
      <pivotArea dataOnly="0" labelOnly="1" outline="0" fieldPosition="0">
        <references count="2">
          <reference field="0" count="1" selected="0">
            <x v="27"/>
          </reference>
          <reference field="2" count="1">
            <x v="1"/>
          </reference>
        </references>
      </pivotArea>
    </format>
    <format dxfId="115">
      <pivotArea dataOnly="0" labelOnly="1" outline="0" fieldPosition="0">
        <references count="2">
          <reference field="0" count="1" selected="0">
            <x v="28"/>
          </reference>
          <reference field="2" count="1">
            <x v="18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33"/>
          </reference>
          <reference field="2" count="1">
            <x v="17"/>
          </reference>
        </references>
      </pivotArea>
    </format>
    <format dxfId="113">
      <pivotArea dataOnly="0" labelOnly="1" outline="0" fieldPosition="0">
        <references count="2">
          <reference field="0" count="1" selected="0">
            <x v="35"/>
          </reference>
          <reference field="2" count="2">
            <x v="30"/>
            <x v="32"/>
          </reference>
        </references>
      </pivotArea>
    </format>
    <format dxfId="112">
      <pivotArea dataOnly="0" labelOnly="1" outline="0" fieldPosition="0">
        <references count="2">
          <reference field="0" count="1" selected="0">
            <x v="36"/>
          </reference>
          <reference field="2" count="1">
            <x v="21"/>
          </reference>
        </references>
      </pivotArea>
    </format>
    <format dxfId="111">
      <pivotArea dataOnly="0" labelOnly="1" outline="0" fieldPosition="0">
        <references count="2">
          <reference field="0" count="1" selected="0">
            <x v="37"/>
          </reference>
          <reference field="2" count="2">
            <x v="4"/>
            <x v="19"/>
          </reference>
        </references>
      </pivotArea>
    </format>
    <format dxfId="110">
      <pivotArea dataOnly="0" labelOnly="1" outline="0" fieldPosition="0">
        <references count="2">
          <reference field="0" count="1" selected="0">
            <x v="38"/>
          </reference>
          <reference field="2" count="2">
            <x v="10"/>
            <x v="32"/>
          </reference>
        </references>
      </pivotArea>
    </format>
    <format dxfId="109">
      <pivotArea dataOnly="0" labelOnly="1" outline="0" fieldPosition="0">
        <references count="2">
          <reference field="0" count="1" selected="0">
            <x v="39"/>
          </reference>
          <reference field="2" count="1">
            <x v="23"/>
          </reference>
        </references>
      </pivotArea>
    </format>
    <format dxfId="108">
      <pivotArea dataOnly="0" labelOnly="1" outline="0" fieldPosition="0">
        <references count="2">
          <reference field="0" count="1" selected="0">
            <x v="40"/>
          </reference>
          <reference field="2" count="1">
            <x v="5"/>
          </reference>
        </references>
      </pivotArea>
    </format>
    <format dxfId="107">
      <pivotArea dataOnly="0" labelOnly="1" outline="0" fieldPosition="0">
        <references count="2">
          <reference field="0" count="1" selected="0">
            <x v="41"/>
          </reference>
          <reference field="2" count="1">
            <x v="12"/>
          </reference>
        </references>
      </pivotArea>
    </format>
    <format dxfId="106">
      <pivotArea dataOnly="0" labelOnly="1" outline="0" fieldPosition="0">
        <references count="2">
          <reference field="0" count="1" selected="0">
            <x v="43"/>
          </reference>
          <reference field="2" count="1">
            <x v="3"/>
          </reference>
        </references>
      </pivotArea>
    </format>
    <format dxfId="105">
      <pivotArea dataOnly="0" labelOnly="1" outline="0" fieldPosition="0">
        <references count="2">
          <reference field="0" count="1" selected="0">
            <x v="44"/>
          </reference>
          <reference field="2" count="1">
            <x v="8"/>
          </reference>
        </references>
      </pivotArea>
    </format>
    <format dxfId="104">
      <pivotArea dataOnly="0" labelOnly="1" outline="0" fieldPosition="0">
        <references count="2">
          <reference field="0" count="1" selected="0">
            <x v="45"/>
          </reference>
          <reference field="2" count="1">
            <x v="33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15"/>
          </reference>
          <reference field="3" count="1">
            <x v="35"/>
          </reference>
        </references>
      </pivotArea>
    </format>
    <format dxfId="102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31"/>
          </reference>
          <reference field="3" count="1">
            <x v="34"/>
          </reference>
        </references>
      </pivotArea>
    </format>
    <format dxfId="101">
      <pivotArea dataOnly="0" labelOnly="1" outline="0" fieldPosition="0">
        <references count="3">
          <reference field="0" count="1" selected="0">
            <x v="4"/>
          </reference>
          <reference field="2" count="1" selected="0">
            <x v="20"/>
          </reference>
          <reference field="3" count="1">
            <x v="16"/>
          </reference>
        </references>
      </pivotArea>
    </format>
    <format dxfId="100">
      <pivotArea dataOnly="0" labelOnly="1" outline="0" fieldPosition="0">
        <references count="3">
          <reference field="0" count="1" selected="0">
            <x v="5"/>
          </reference>
          <reference field="2" count="1" selected="0">
            <x v="14"/>
          </reference>
          <reference field="3" count="1">
            <x v="34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6"/>
          </reference>
          <reference field="2" count="1" selected="0">
            <x v="25"/>
          </reference>
          <reference field="3" count="1">
            <x v="31"/>
          </reference>
        </references>
      </pivotArea>
    </format>
    <format dxfId="98">
      <pivotArea dataOnly="0" labelOnly="1" outline="0" fieldPosition="0">
        <references count="3">
          <reference field="0" count="1" selected="0">
            <x v="6"/>
          </reference>
          <reference field="2" count="1" selected="0">
            <x v="28"/>
          </reference>
          <reference field="3" count="1">
            <x v="17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8"/>
          </reference>
          <reference field="2" count="1" selected="0">
            <x v="16"/>
          </reference>
          <reference field="3" count="1">
            <x v="13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9"/>
          </reference>
          <reference field="2" count="1" selected="0">
            <x v="6"/>
          </reference>
          <reference field="3" count="1">
            <x v="23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10"/>
          </reference>
          <reference field="2" count="1" selected="0">
            <x v="27"/>
          </reference>
          <reference field="3" count="1">
            <x v="31"/>
          </reference>
        </references>
      </pivotArea>
    </format>
    <format dxfId="93">
      <pivotArea dataOnly="0" labelOnly="1" outline="0" fieldPosition="0">
        <references count="3">
          <reference field="0" count="1" selected="0">
            <x v="11"/>
          </reference>
          <reference field="2" count="1" selected="0">
            <x v="21"/>
          </reference>
          <reference field="3" count="1">
            <x v="26"/>
          </reference>
        </references>
      </pivotArea>
    </format>
    <format dxfId="92">
      <pivotArea dataOnly="0" labelOnly="1" outline="0" fieldPosition="0">
        <references count="3">
          <reference field="0" count="1" selected="0">
            <x v="12"/>
          </reference>
          <reference field="2" count="1" selected="0">
            <x v="26"/>
          </reference>
          <reference field="3" count="1">
            <x v="1"/>
          </reference>
        </references>
      </pivotArea>
    </format>
    <format dxfId="91">
      <pivotArea dataOnly="0" labelOnly="1" outline="0" fieldPosition="0">
        <references count="3">
          <reference field="0" count="1" selected="0">
            <x v="13"/>
          </reference>
          <reference field="2" count="1" selected="0">
            <x v="26"/>
          </reference>
          <reference field="3" count="1">
            <x v="4"/>
          </reference>
        </references>
      </pivotArea>
    </format>
    <format dxfId="90">
      <pivotArea dataOnly="0" labelOnly="1" outline="0" fieldPosition="0">
        <references count="3">
          <reference field="0" count="1" selected="0">
            <x v="14"/>
          </reference>
          <reference field="2" count="1" selected="0">
            <x v="0"/>
          </reference>
          <reference field="3" count="1">
            <x v="28"/>
          </reference>
        </references>
      </pivotArea>
    </format>
    <format dxfId="89">
      <pivotArea dataOnly="0" labelOnly="1" outline="0" fieldPosition="0">
        <references count="3">
          <reference field="0" count="1" selected="0">
            <x v="15"/>
          </reference>
          <reference field="2" count="1" selected="0">
            <x v="26"/>
          </reference>
          <reference field="3" count="1">
            <x v="12"/>
          </reference>
        </references>
      </pivotArea>
    </format>
    <format dxfId="88">
      <pivotArea dataOnly="0" labelOnly="1" outline="0" fieldPosition="0">
        <references count="3">
          <reference field="0" count="1" selected="0">
            <x v="16"/>
          </reference>
          <reference field="2" count="1" selected="0">
            <x v="7"/>
          </reference>
          <reference field="3" count="1">
            <x v="30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17"/>
          </reference>
          <reference field="2" count="1" selected="0">
            <x v="35"/>
          </reference>
          <reference field="3" count="1">
            <x v="36"/>
          </reference>
        </references>
      </pivotArea>
    </format>
    <format dxfId="86">
      <pivotArea dataOnly="0" labelOnly="1" outline="0" fieldPosition="0">
        <references count="3">
          <reference field="0" count="1" selected="0">
            <x v="18"/>
          </reference>
          <reference field="2" count="1" selected="0">
            <x v="24"/>
          </reference>
          <reference field="3" count="1">
            <x v="33"/>
          </reference>
        </references>
      </pivotArea>
    </format>
    <format dxfId="85">
      <pivotArea dataOnly="0" labelOnly="1" outline="0" fieldPosition="0">
        <references count="3">
          <reference field="0" count="1" selected="0">
            <x v="18"/>
          </reference>
          <reference field="2" count="1" selected="0">
            <x v="29"/>
          </reference>
          <reference field="3" count="1">
            <x v="32"/>
          </reference>
        </references>
      </pivotArea>
    </format>
    <format dxfId="84">
      <pivotArea dataOnly="0" labelOnly="1" outline="0" fieldPosition="0">
        <references count="3">
          <reference field="0" count="1" selected="0">
            <x v="19"/>
          </reference>
          <reference field="2" count="1" selected="0">
            <x v="13"/>
          </reference>
          <reference field="3" count="1">
            <x v="10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20"/>
          </reference>
          <reference field="2" count="1" selected="0">
            <x v="13"/>
          </reference>
          <reference field="3" count="1">
            <x v="29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21"/>
          </reference>
          <reference field="2" count="1" selected="0">
            <x v="13"/>
          </reference>
          <reference field="3" count="2">
            <x v="20"/>
            <x v="34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22"/>
          </reference>
          <reference field="2" count="1" selected="0">
            <x v="22"/>
          </reference>
          <reference field="3" count="1">
            <x v="3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23"/>
          </reference>
          <reference field="2" count="1" selected="0">
            <x v="34"/>
          </reference>
          <reference field="3" count="1">
            <x v="9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24"/>
          </reference>
          <reference field="2" count="1" selected="0">
            <x v="34"/>
          </reference>
          <reference field="3" count="1">
            <x v="7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25"/>
          </reference>
          <reference field="2" count="1" selected="0">
            <x v="34"/>
          </reference>
          <reference field="3" count="3">
            <x v="8"/>
            <x v="9"/>
            <x v="17"/>
          </reference>
        </references>
      </pivotArea>
    </format>
    <format dxfId="77">
      <pivotArea dataOnly="0" labelOnly="1" outline="0" fieldPosition="0">
        <references count="3">
          <reference field="0" count="1" selected="0">
            <x v="26"/>
          </reference>
          <reference field="2" count="1" selected="0">
            <x v="2"/>
          </reference>
          <reference field="3" count="1">
            <x v="0"/>
          </reference>
        </references>
      </pivotArea>
    </format>
    <format dxfId="76">
      <pivotArea dataOnly="0" labelOnly="1" outline="0" fieldPosition="0">
        <references count="3">
          <reference field="0" count="1" selected="0">
            <x v="27"/>
          </reference>
          <reference field="2" count="1" selected="0">
            <x v="1"/>
          </reference>
          <reference field="3" count="1">
            <x v="34"/>
          </reference>
        </references>
      </pivotArea>
    </format>
    <format dxfId="75">
      <pivotArea dataOnly="0" labelOnly="1" outline="0" fieldPosition="0">
        <references count="3">
          <reference field="0" count="1" selected="0">
            <x v="28"/>
          </reference>
          <reference field="2" count="1" selected="0">
            <x v="18"/>
          </reference>
          <reference field="3" count="1">
            <x v="15"/>
          </reference>
        </references>
      </pivotArea>
    </format>
    <format dxfId="74">
      <pivotArea dataOnly="0" labelOnly="1" outline="0" fieldPosition="0">
        <references count="3">
          <reference field="0" count="1" selected="0">
            <x v="29"/>
          </reference>
          <reference field="2" count="1" selected="0">
            <x v="18"/>
          </reference>
          <reference field="3" count="1">
            <x v="34"/>
          </reference>
        </references>
      </pivotArea>
    </format>
    <format dxfId="73">
      <pivotArea dataOnly="0" labelOnly="1" outline="0" fieldPosition="0">
        <references count="3">
          <reference field="0" count="1" selected="0">
            <x v="30"/>
          </reference>
          <reference field="2" count="1" selected="0">
            <x v="18"/>
          </reference>
          <reference field="3" count="1">
            <x v="5"/>
          </reference>
        </references>
      </pivotArea>
    </format>
    <format dxfId="72">
      <pivotArea dataOnly="0" labelOnly="1" outline="0" fieldPosition="0">
        <references count="3">
          <reference field="0" count="1" selected="0">
            <x v="31"/>
          </reference>
          <reference field="2" count="1" selected="0">
            <x v="18"/>
          </reference>
          <reference field="3" count="1">
            <x v="14"/>
          </reference>
        </references>
      </pivotArea>
    </format>
    <format dxfId="71">
      <pivotArea dataOnly="0" labelOnly="1" outline="0" fieldPosition="0">
        <references count="3">
          <reference field="0" count="1" selected="0">
            <x v="32"/>
          </reference>
          <reference field="2" count="1" selected="0">
            <x v="18"/>
          </reference>
          <reference field="3" count="1">
            <x v="11"/>
          </reference>
        </references>
      </pivotArea>
    </format>
    <format dxfId="70">
      <pivotArea dataOnly="0" labelOnly="1" outline="0" fieldPosition="0">
        <references count="3">
          <reference field="0" count="1" selected="0">
            <x v="33"/>
          </reference>
          <reference field="2" count="1" selected="0">
            <x v="17"/>
          </reference>
          <reference field="3" count="1">
            <x v="17"/>
          </reference>
        </references>
      </pivotArea>
    </format>
    <format dxfId="69">
      <pivotArea dataOnly="0" labelOnly="1" outline="0" fieldPosition="0">
        <references count="3">
          <reference field="0" count="1" selected="0">
            <x v="35"/>
          </reference>
          <reference field="2" count="1" selected="0">
            <x v="30"/>
          </reference>
          <reference field="3" count="1">
            <x v="19"/>
          </reference>
        </references>
      </pivotArea>
    </format>
    <format dxfId="68">
      <pivotArea dataOnly="0" labelOnly="1" outline="0" fieldPosition="0">
        <references count="3">
          <reference field="0" count="1" selected="0">
            <x v="35"/>
          </reference>
          <reference field="2" count="1" selected="0">
            <x v="32"/>
          </reference>
          <reference field="3" count="1">
            <x v="21"/>
          </reference>
        </references>
      </pivotArea>
    </format>
    <format dxfId="67">
      <pivotArea dataOnly="0" labelOnly="1" outline="0" fieldPosition="0">
        <references count="3">
          <reference field="0" count="1" selected="0">
            <x v="36"/>
          </reference>
          <reference field="2" count="1" selected="0">
            <x v="21"/>
          </reference>
          <reference field="3" count="1">
            <x v="27"/>
          </reference>
        </references>
      </pivotArea>
    </format>
    <format dxfId="66">
      <pivotArea dataOnly="0" labelOnly="1" outline="0" fieldPosition="0">
        <references count="3">
          <reference field="0" count="1" selected="0">
            <x v="37"/>
          </reference>
          <reference field="2" count="1" selected="0">
            <x v="4"/>
          </reference>
          <reference field="3" count="1">
            <x v="34"/>
          </reference>
        </references>
      </pivotArea>
    </format>
    <format dxfId="65">
      <pivotArea dataOnly="0" labelOnly="1" outline="0" fieldPosition="0">
        <references count="3">
          <reference field="0" count="1" selected="0">
            <x v="37"/>
          </reference>
          <reference field="2" count="1" selected="0">
            <x v="19"/>
          </reference>
          <reference field="3" count="1">
            <x v="24"/>
          </reference>
        </references>
      </pivotArea>
    </format>
    <format dxfId="64">
      <pivotArea dataOnly="0" labelOnly="1" outline="0" fieldPosition="0">
        <references count="3">
          <reference field="0" count="1" selected="0">
            <x v="38"/>
          </reference>
          <reference field="2" count="1" selected="0">
            <x v="10"/>
          </reference>
          <reference field="3" count="1">
            <x v="34"/>
          </reference>
        </references>
      </pivotArea>
    </format>
    <format dxfId="63">
      <pivotArea dataOnly="0" labelOnly="1" outline="0" fieldPosition="0">
        <references count="3">
          <reference field="0" count="1" selected="0">
            <x v="38"/>
          </reference>
          <reference field="2" count="1" selected="0">
            <x v="32"/>
          </reference>
          <reference field="3" count="1">
            <x v="6"/>
          </reference>
        </references>
      </pivotArea>
    </format>
    <format dxfId="62">
      <pivotArea dataOnly="0" labelOnly="1" outline="0" fieldPosition="0">
        <references count="3">
          <reference field="0" count="1" selected="0">
            <x v="39"/>
          </reference>
          <reference field="2" count="1" selected="0">
            <x v="23"/>
          </reference>
          <reference field="3" count="1">
            <x v="2"/>
          </reference>
        </references>
      </pivotArea>
    </format>
    <format dxfId="61">
      <pivotArea dataOnly="0" labelOnly="1" outline="0" fieldPosition="0">
        <references count="3">
          <reference field="0" count="1" selected="0">
            <x v="40"/>
          </reference>
          <reference field="2" count="1" selected="0">
            <x v="5"/>
          </reference>
          <reference field="3" count="1">
            <x v="17"/>
          </reference>
        </references>
      </pivotArea>
    </format>
    <format dxfId="60">
      <pivotArea dataOnly="0" labelOnly="1" outline="0" fieldPosition="0">
        <references count="3">
          <reference field="0" count="1" selected="0">
            <x v="41"/>
          </reference>
          <reference field="2" count="1" selected="0">
            <x v="12"/>
          </reference>
          <reference field="3" count="1">
            <x v="34"/>
          </reference>
        </references>
      </pivotArea>
    </format>
    <format dxfId="59">
      <pivotArea dataOnly="0" labelOnly="1" outline="0" fieldPosition="0">
        <references count="3">
          <reference field="0" count="1" selected="0">
            <x v="42"/>
          </reference>
          <reference field="2" count="1" selected="0">
            <x v="12"/>
          </reference>
          <reference field="3" count="1">
            <x v="25"/>
          </reference>
        </references>
      </pivotArea>
    </format>
    <format dxfId="58">
      <pivotArea dataOnly="0" labelOnly="1" outline="0" fieldPosition="0">
        <references count="3">
          <reference field="0" count="1" selected="0">
            <x v="43"/>
          </reference>
          <reference field="2" count="1" selected="0">
            <x v="3"/>
          </reference>
          <reference field="3" count="1">
            <x v="34"/>
          </reference>
        </references>
      </pivotArea>
    </format>
    <format dxfId="57">
      <pivotArea dataOnly="0" labelOnly="1" outline="0" fieldPosition="0">
        <references count="3">
          <reference field="0" count="1" selected="0">
            <x v="44"/>
          </reference>
          <reference field="2" count="1" selected="0">
            <x v="8"/>
          </reference>
          <reference field="3" count="1">
            <x v="22"/>
          </reference>
        </references>
      </pivotArea>
    </format>
    <format dxfId="56">
      <pivotArea dataOnly="0" labelOnly="1" outline="0" fieldPosition="0">
        <references count="3">
          <reference field="0" count="1" selected="0">
            <x v="45"/>
          </reference>
          <reference field="2" count="1" selected="0">
            <x v="33"/>
          </reference>
          <reference field="3" count="1">
            <x v="17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5"/>
          </reference>
          <reference field="3" count="1" selected="0">
            <x v="35"/>
          </reference>
          <reference field="4" count="1">
            <x v="4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31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2"/>
          </reference>
          <reference field="2" count="1" selected="0">
            <x v="31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3"/>
          </reference>
          <reference field="2" count="1" selected="0">
            <x v="11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4"/>
          </reference>
          <reference field="2" count="1" selected="0">
            <x v="20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5"/>
          </reference>
          <reference field="2" count="1" selected="0">
            <x v="14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6"/>
          </reference>
          <reference field="2" count="1" selected="0">
            <x v="25"/>
          </reference>
          <reference field="3" count="1" selected="0">
            <x v="31"/>
          </reference>
          <reference field="4" count="1">
            <x v="1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6"/>
          </reference>
          <reference field="2" count="1" selected="0">
            <x v="28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7"/>
          </reference>
          <reference field="2" count="1" selected="0">
            <x v="9"/>
          </reference>
          <reference field="3" count="1" selected="0">
            <x v="18"/>
          </reference>
          <reference field="4" count="1">
            <x v="1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8"/>
          </reference>
          <reference field="2" count="1" selected="0">
            <x v="16"/>
          </reference>
          <reference field="3" count="1" selected="0">
            <x v="13"/>
          </reference>
          <reference field="4" count="1">
            <x v="4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9"/>
          </reference>
          <reference field="2" count="1" selected="0">
            <x v="6"/>
          </reference>
          <reference field="3" count="1" selected="0">
            <x v="23"/>
          </reference>
          <reference field="4" count="1">
            <x v="4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10"/>
          </reference>
          <reference field="2" count="1" selected="0">
            <x v="27"/>
          </reference>
          <reference field="3" count="1" selected="0">
            <x v="31"/>
          </reference>
          <reference field="4" count="1">
            <x v="1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11"/>
          </reference>
          <reference field="2" count="1" selected="0">
            <x v="21"/>
          </reference>
          <reference field="3" count="1" selected="0">
            <x v="26"/>
          </reference>
          <reference field="4" count="1">
            <x v="5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12"/>
          </reference>
          <reference field="2" count="1" selected="0">
            <x v="26"/>
          </reference>
          <reference field="3" count="1" selected="0">
            <x v="1"/>
          </reference>
          <reference field="4" count="1">
            <x v="4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13"/>
          </reference>
          <reference field="2" count="1" selected="0">
            <x v="26"/>
          </reference>
          <reference field="3" count="1" selected="0">
            <x v="4"/>
          </reference>
          <reference field="4" count="1">
            <x v="4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14"/>
          </reference>
          <reference field="2" count="1" selected="0">
            <x v="0"/>
          </reference>
          <reference field="3" count="1" selected="0">
            <x v="28"/>
          </reference>
          <reference field="4" count="1">
            <x v="4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15"/>
          </reference>
          <reference field="2" count="1" selected="0">
            <x v="26"/>
          </reference>
          <reference field="3" count="1" selected="0">
            <x v="12"/>
          </reference>
          <reference field="4" count="1">
            <x v="4"/>
          </reference>
        </references>
      </pivotArea>
    </format>
    <format dxfId="38">
      <pivotArea dataOnly="0" labelOnly="1" outline="0" fieldPosition="0">
        <references count="4">
          <reference field="0" count="1" selected="0">
            <x v="16"/>
          </reference>
          <reference field="2" count="1" selected="0">
            <x v="7"/>
          </reference>
          <reference field="3" count="1" selected="0">
            <x v="30"/>
          </reference>
          <reference field="4" count="1">
            <x v="1"/>
          </reference>
        </references>
      </pivotArea>
    </format>
    <format dxfId="37">
      <pivotArea dataOnly="0" labelOnly="1" outline="0" fieldPosition="0">
        <references count="4">
          <reference field="0" count="1" selected="0">
            <x v="17"/>
          </reference>
          <reference field="2" count="1" selected="0">
            <x v="35"/>
          </reference>
          <reference field="3" count="1" selected="0">
            <x v="36"/>
          </reference>
          <reference field="4" count="1">
            <x v="0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18"/>
          </reference>
          <reference field="2" count="1" selected="0">
            <x v="24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35">
      <pivotArea dataOnly="0" labelOnly="1" outline="0" fieldPosition="0">
        <references count="4">
          <reference field="0" count="1" selected="0">
            <x v="18"/>
          </reference>
          <reference field="2" count="1" selected="0">
            <x v="29"/>
          </reference>
          <reference field="3" count="1" selected="0">
            <x v="32"/>
          </reference>
          <reference field="4" count="1">
            <x v="3"/>
          </reference>
        </references>
      </pivotArea>
    </format>
    <format dxfId="34">
      <pivotArea dataOnly="0" labelOnly="1" outline="0" fieldPosition="0">
        <references count="4">
          <reference field="0" count="1" selected="0">
            <x v="19"/>
          </reference>
          <reference field="2" count="1" selected="0">
            <x v="13"/>
          </reference>
          <reference field="3" count="1" selected="0">
            <x v="10"/>
          </reference>
          <reference field="4" count="1">
            <x v="1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20"/>
          </reference>
          <reference field="2" count="1" selected="0">
            <x v="13"/>
          </reference>
          <reference field="3" count="1" selected="0">
            <x v="29"/>
          </reference>
          <reference field="4" count="1">
            <x v="1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21"/>
          </reference>
          <reference field="2" count="1" selected="0">
            <x v="13"/>
          </reference>
          <reference field="3" count="1" selected="0">
            <x v="20"/>
          </reference>
          <reference field="4" count="1">
            <x v="6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21"/>
          </reference>
          <reference field="2" count="1" selected="0">
            <x v="13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22"/>
          </reference>
          <reference field="2" count="1" selected="0">
            <x v="22"/>
          </reference>
          <reference field="3" count="1" selected="0">
            <x v="3"/>
          </reference>
          <reference field="4" count="1">
            <x v="1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23"/>
          </reference>
          <reference field="2" count="1" selected="0">
            <x v="34"/>
          </reference>
          <reference field="3" count="1" selected="0">
            <x v="9"/>
          </reference>
          <reference field="4" count="1">
            <x v="2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24"/>
          </reference>
          <reference field="2" count="1" selected="0">
            <x v="34"/>
          </reference>
          <reference field="3" count="1" selected="0">
            <x v="7"/>
          </reference>
          <reference field="4" count="1">
            <x v="1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25"/>
          </reference>
          <reference field="2" count="1" selected="0">
            <x v="34"/>
          </reference>
          <reference field="3" count="1" selected="0">
            <x v="8"/>
          </reference>
          <reference field="4" count="1">
            <x v="4"/>
          </reference>
        </references>
      </pivotArea>
    </format>
    <format dxfId="26">
      <pivotArea dataOnly="0" labelOnly="1" outline="0" fieldPosition="0">
        <references count="4">
          <reference field="0" count="1" selected="0">
            <x v="25"/>
          </reference>
          <reference field="2" count="1" selected="0">
            <x v="34"/>
          </reference>
          <reference field="3" count="1" selected="0">
            <x v="9"/>
          </reference>
          <reference field="4" count="1">
            <x v="2"/>
          </reference>
        </references>
      </pivotArea>
    </format>
    <format dxfId="25">
      <pivotArea dataOnly="0" labelOnly="1" outline="0" fieldPosition="0">
        <references count="4">
          <reference field="0" count="1" selected="0">
            <x v="25"/>
          </reference>
          <reference field="2" count="1" selected="0">
            <x v="34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24">
      <pivotArea dataOnly="0" labelOnly="1" outline="0" fieldPosition="0">
        <references count="4">
          <reference field="0" count="1" selected="0">
            <x v="26"/>
          </reference>
          <reference field="2" count="1" selected="0">
            <x v="2"/>
          </reference>
          <reference field="3" count="1" selected="0">
            <x v="0"/>
          </reference>
          <reference field="4" count="1">
            <x v="1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27"/>
          </reference>
          <reference field="2" count="1" selected="0">
            <x v="1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28"/>
          </reference>
          <reference field="2" count="1" selected="0">
            <x v="18"/>
          </reference>
          <reference field="3" count="1" selected="0">
            <x v="15"/>
          </reference>
          <reference field="4" count="1">
            <x v="3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29"/>
          </reference>
          <reference field="2" count="1" selected="0">
            <x v="18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30"/>
          </reference>
          <reference field="2" count="1" selected="0">
            <x v="18"/>
          </reference>
          <reference field="3" count="1" selected="0">
            <x v="5"/>
          </reference>
          <reference field="4" count="1">
            <x v="4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31"/>
          </reference>
          <reference field="2" count="1" selected="0">
            <x v="18"/>
          </reference>
          <reference field="3" count="1" selected="0">
            <x v="14"/>
          </reference>
          <reference field="4" count="1">
            <x v="1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32"/>
          </reference>
          <reference field="2" count="1" selected="0">
            <x v="18"/>
          </reference>
          <reference field="3" count="1" selected="0">
            <x v="11"/>
          </reference>
          <reference field="4" count="1">
            <x v="1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33"/>
          </reference>
          <reference field="2" count="1" selected="0">
            <x v="17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34"/>
          </reference>
          <reference field="2" count="1" selected="0">
            <x v="17"/>
          </reference>
          <reference field="3" count="1" selected="0">
            <x v="17"/>
          </reference>
          <reference field="4" count="1">
            <x v="6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35"/>
          </reference>
          <reference field="2" count="1" selected="0">
            <x v="30"/>
          </reference>
          <reference field="3" count="1" selected="0">
            <x v="19"/>
          </reference>
          <reference field="4" count="1">
            <x v="6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35"/>
          </reference>
          <reference field="2" count="1" selected="0">
            <x v="32"/>
          </reference>
          <reference field="3" count="1" selected="0">
            <x v="21"/>
          </reference>
          <reference field="4" count="1">
            <x v="4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36"/>
          </reference>
          <reference field="2" count="1" selected="0">
            <x v="21"/>
          </reference>
          <reference field="3" count="1" selected="0">
            <x v="27"/>
          </reference>
          <reference field="4" count="1">
            <x v="5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37"/>
          </reference>
          <reference field="2" count="1" selected="0">
            <x v="4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11">
      <pivotArea dataOnly="0" labelOnly="1" outline="0" fieldPosition="0">
        <references count="4">
          <reference field="0" count="1" selected="0">
            <x v="37"/>
          </reference>
          <reference field="2" count="1" selected="0">
            <x v="19"/>
          </reference>
          <reference field="3" count="1" selected="0">
            <x v="24"/>
          </reference>
          <reference field="4" count="1">
            <x v="6"/>
          </reference>
        </references>
      </pivotArea>
    </format>
    <format dxfId="10">
      <pivotArea dataOnly="0" labelOnly="1" outline="0" fieldPosition="0">
        <references count="4">
          <reference field="0" count="1" selected="0">
            <x v="38"/>
          </reference>
          <reference field="2" count="1" selected="0">
            <x v="10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9">
      <pivotArea dataOnly="0" labelOnly="1" outline="0" fieldPosition="0">
        <references count="4">
          <reference field="0" count="1" selected="0">
            <x v="38"/>
          </reference>
          <reference field="2" count="1" selected="0">
            <x v="32"/>
          </reference>
          <reference field="3" count="1" selected="0">
            <x v="6"/>
          </reference>
          <reference field="4" count="1">
            <x v="4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39"/>
          </reference>
          <reference field="2" count="1" selected="0">
            <x v="23"/>
          </reference>
          <reference field="3" count="1" selected="0">
            <x v="2"/>
          </reference>
          <reference field="4" count="1">
            <x v="4"/>
          </reference>
        </references>
      </pivotArea>
    </format>
    <format dxfId="7">
      <pivotArea dataOnly="0" labelOnly="1" outline="0" fieldPosition="0">
        <references count="4">
          <reference field="0" count="1" selected="0">
            <x v="40"/>
          </reference>
          <reference field="2" count="1" selected="0">
            <x v="5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6">
      <pivotArea dataOnly="0" labelOnly="1" outline="0" fieldPosition="0">
        <references count="4">
          <reference field="0" count="1" selected="0">
            <x v="41"/>
          </reference>
          <reference field="2" count="1" selected="0">
            <x v="12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5">
      <pivotArea dataOnly="0" labelOnly="1" outline="0" fieldPosition="0">
        <references count="4">
          <reference field="0" count="1" selected="0">
            <x v="41"/>
          </reference>
          <reference field="2" count="1" selected="0">
            <x v="12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4">
      <pivotArea dataOnly="0" labelOnly="1" outline="0" fieldPosition="0">
        <references count="4">
          <reference field="0" count="1" selected="0">
            <x v="42"/>
          </reference>
          <reference field="2" count="1" selected="0">
            <x v="12"/>
          </reference>
          <reference field="3" count="1" selected="0">
            <x v="25"/>
          </reference>
          <reference field="4" count="1">
            <x v="5"/>
          </reference>
        </references>
      </pivotArea>
    </format>
    <format dxfId="3">
      <pivotArea dataOnly="0" labelOnly="1" outline="0" fieldPosition="0">
        <references count="4">
          <reference field="0" count="1" selected="0">
            <x v="43"/>
          </reference>
          <reference field="2" count="1" selected="0">
            <x v="3"/>
          </reference>
          <reference field="3" count="1" selected="0">
            <x v="34"/>
          </reference>
          <reference field="4" count="1">
            <x v="6"/>
          </reference>
        </references>
      </pivotArea>
    </format>
    <format dxfId="2">
      <pivotArea dataOnly="0" labelOnly="1" outline="0" fieldPosition="0">
        <references count="4">
          <reference field="0" count="1" selected="0">
            <x v="44"/>
          </reference>
          <reference field="2" count="1" selected="0">
            <x v="8"/>
          </reference>
          <reference field="3" count="1" selected="0">
            <x v="22"/>
          </reference>
          <reference field="4" count="1">
            <x v="4"/>
          </reference>
        </references>
      </pivotArea>
    </format>
    <format dxfId="1">
      <pivotArea dataOnly="0" labelOnly="1" outline="0" fieldPosition="0">
        <references count="4">
          <reference field="0" count="1" selected="0">
            <x v="45"/>
          </reference>
          <reference field="2" count="1" selected="0">
            <x v="33"/>
          </reference>
          <reference field="3" count="1" selected="0">
            <x v="17"/>
          </reference>
          <reference field="4" count="1">
            <x v="4"/>
          </reference>
        </references>
      </pivotArea>
    </format>
    <format dxfId="0">
      <pivotArea dataOnly="0" labelOnly="1" outline="0" axis="axisValues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E56" totalsRowShown="0" headerRowDxfId="256" dataDxfId="255">
  <autoFilter ref="A1:E56" xr:uid="{00000000-0009-0000-0100-000001000000}"/>
  <sortState xmlns:xlrd2="http://schemas.microsoft.com/office/spreadsheetml/2017/richdata2" ref="A2:E56">
    <sortCondition descending="1" ref="E1:E56"/>
  </sortState>
  <tableColumns count="5">
    <tableColumn id="1" xr3:uid="{00000000-0010-0000-0000-000001000000}" name="GM" dataDxfId="254"/>
    <tableColumn id="2" xr3:uid="{00000000-0010-0000-0000-000002000000}" name="SETOR" dataDxfId="253"/>
    <tableColumn id="3" xr3:uid="{00000000-0010-0000-0000-000003000000}" name="ATIVIDADE" dataDxfId="252"/>
    <tableColumn id="4" xr3:uid="{00000000-0010-0000-0000-000004000000}" name="FUNÇÃO" dataDxfId="251"/>
    <tableColumn id="5" xr3:uid="{00000000-0010-0000-0000-000005000000}" name="FATOR TOLERÂNCIA" dataDxfId="250" dataCellStyle="Porcentage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6"/>
  <sheetViews>
    <sheetView showGridLines="0" tabSelected="1" workbookViewId="0">
      <selection activeCell="I3" sqref="I3"/>
    </sheetView>
  </sheetViews>
  <sheetFormatPr defaultRowHeight="15" x14ac:dyDescent="0.25"/>
  <cols>
    <col min="1" max="1" width="9.140625" style="1"/>
    <col min="2" max="2" width="9.5703125" style="1" bestFit="1" customWidth="1"/>
    <col min="3" max="16384" width="9.140625" style="1"/>
  </cols>
  <sheetData>
    <row r="6" spans="2:2" x14ac:dyDescent="0.25">
      <c r="B6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60"/>
  <sheetViews>
    <sheetView topLeftCell="A31" zoomScale="80" zoomScaleNormal="80" workbookViewId="0">
      <selection sqref="A1:XFD1"/>
    </sheetView>
  </sheetViews>
  <sheetFormatPr defaultColWidth="19.85546875" defaultRowHeight="15" x14ac:dyDescent="0.25"/>
  <cols>
    <col min="1" max="1" width="30.5703125" style="3" customWidth="1"/>
    <col min="2" max="2" width="18.42578125" style="3" bestFit="1" customWidth="1"/>
    <col min="3" max="3" width="30.5703125" style="3" bestFit="1" customWidth="1"/>
    <col min="4" max="4" width="50.85546875" style="3" bestFit="1" customWidth="1"/>
    <col min="5" max="5" width="25" style="3" customWidth="1"/>
    <col min="6" max="6" width="17" style="39" customWidth="1"/>
    <col min="7" max="7" width="27.85546875" style="3" bestFit="1" customWidth="1"/>
    <col min="8" max="8" width="21.5703125" style="40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74</v>
      </c>
      <c r="E1" s="3" t="s">
        <v>75</v>
      </c>
      <c r="F1" s="39" t="s">
        <v>3</v>
      </c>
      <c r="G1" s="3" t="s">
        <v>4</v>
      </c>
      <c r="H1" s="3" t="s">
        <v>5</v>
      </c>
    </row>
    <row r="2" spans="1:8" x14ac:dyDescent="0.25">
      <c r="A2" s="3" t="s">
        <v>99</v>
      </c>
      <c r="B2" s="3">
        <v>12104</v>
      </c>
      <c r="C2" s="3" t="s">
        <v>100</v>
      </c>
      <c r="D2" s="3" t="s">
        <v>86</v>
      </c>
      <c r="E2" s="3" t="s">
        <v>87</v>
      </c>
      <c r="F2" s="39">
        <v>43731</v>
      </c>
      <c r="G2" s="3" t="s">
        <v>88</v>
      </c>
      <c r="H2" s="40">
        <v>0.23200000000000001</v>
      </c>
    </row>
    <row r="3" spans="1:8" x14ac:dyDescent="0.25">
      <c r="A3" s="3" t="s">
        <v>97</v>
      </c>
      <c r="B3" s="3">
        <v>12104</v>
      </c>
      <c r="C3" s="3" t="s">
        <v>98</v>
      </c>
      <c r="D3" s="3" t="s">
        <v>86</v>
      </c>
      <c r="E3" s="3" t="s">
        <v>87</v>
      </c>
      <c r="F3" s="39">
        <v>43731</v>
      </c>
      <c r="G3" s="3" t="s">
        <v>88</v>
      </c>
      <c r="H3" s="40">
        <v>0.23200000000000001</v>
      </c>
    </row>
    <row r="4" spans="1:8" x14ac:dyDescent="0.25">
      <c r="A4" s="3" t="s">
        <v>84</v>
      </c>
      <c r="B4" s="3">
        <v>13168</v>
      </c>
      <c r="C4" s="3" t="s">
        <v>85</v>
      </c>
      <c r="D4" s="3" t="s">
        <v>86</v>
      </c>
      <c r="E4" s="3" t="s">
        <v>87</v>
      </c>
      <c r="F4" s="39">
        <v>43731</v>
      </c>
      <c r="G4" s="3" t="s">
        <v>88</v>
      </c>
      <c r="H4" s="40">
        <v>0.23200000000000001</v>
      </c>
    </row>
    <row r="5" spans="1:8" x14ac:dyDescent="0.25">
      <c r="A5" s="3" t="s">
        <v>101</v>
      </c>
      <c r="B5" s="3">
        <v>13131</v>
      </c>
      <c r="C5" s="3" t="s">
        <v>102</v>
      </c>
      <c r="D5" s="3" t="s">
        <v>78</v>
      </c>
      <c r="E5" s="3" t="s">
        <v>81</v>
      </c>
      <c r="F5" s="39">
        <v>43731</v>
      </c>
      <c r="G5" s="3" t="s">
        <v>103</v>
      </c>
      <c r="H5" s="40">
        <v>0.21199999999999999</v>
      </c>
    </row>
    <row r="6" spans="1:8" x14ac:dyDescent="0.25">
      <c r="A6" s="3" t="s">
        <v>117</v>
      </c>
      <c r="B6" s="3">
        <v>13161</v>
      </c>
      <c r="C6" s="3" t="s">
        <v>119</v>
      </c>
      <c r="D6" s="3" t="s">
        <v>120</v>
      </c>
      <c r="E6" s="3" t="s">
        <v>81</v>
      </c>
      <c r="F6" s="39">
        <v>43731</v>
      </c>
      <c r="G6" s="3" t="s">
        <v>118</v>
      </c>
      <c r="H6" s="40">
        <v>0.19600000000000001</v>
      </c>
    </row>
    <row r="7" spans="1:8" x14ac:dyDescent="0.25">
      <c r="A7" s="3" t="s">
        <v>104</v>
      </c>
      <c r="B7" s="3">
        <v>13140</v>
      </c>
      <c r="C7" s="3" t="s">
        <v>105</v>
      </c>
      <c r="D7" s="3" t="s">
        <v>106</v>
      </c>
      <c r="E7" s="3" t="s">
        <v>107</v>
      </c>
      <c r="F7" s="39">
        <v>43731</v>
      </c>
      <c r="G7" s="3" t="s">
        <v>88</v>
      </c>
      <c r="H7" s="40">
        <v>8.5999999999999993E-2</v>
      </c>
    </row>
    <row r="8" spans="1:8" x14ac:dyDescent="0.25">
      <c r="A8" s="3" t="s">
        <v>92</v>
      </c>
      <c r="B8" s="3">
        <v>13131</v>
      </c>
      <c r="C8" s="3" t="s">
        <v>93</v>
      </c>
      <c r="D8" s="3" t="s">
        <v>94</v>
      </c>
      <c r="E8" s="3" t="s">
        <v>95</v>
      </c>
      <c r="F8" s="39">
        <v>43710</v>
      </c>
      <c r="G8" s="3" t="s">
        <v>96</v>
      </c>
      <c r="H8" s="40">
        <v>0.14599999999999999</v>
      </c>
    </row>
    <row r="9" spans="1:8" x14ac:dyDescent="0.25">
      <c r="A9" s="3" t="s">
        <v>89</v>
      </c>
      <c r="B9" s="3">
        <v>13174</v>
      </c>
      <c r="C9" s="3" t="s">
        <v>90</v>
      </c>
      <c r="D9" s="3" t="s">
        <v>91</v>
      </c>
      <c r="E9" s="3" t="s">
        <v>87</v>
      </c>
      <c r="F9" s="39">
        <v>43623</v>
      </c>
      <c r="G9" s="3" t="s">
        <v>79</v>
      </c>
      <c r="H9" s="40">
        <v>0.2339</v>
      </c>
    </row>
    <row r="10" spans="1:8" x14ac:dyDescent="0.25">
      <c r="A10" s="3" t="s">
        <v>76</v>
      </c>
      <c r="B10" s="3">
        <v>13178</v>
      </c>
      <c r="C10" s="3" t="s">
        <v>77</v>
      </c>
      <c r="D10" s="3" t="s">
        <v>78</v>
      </c>
      <c r="E10" s="3" t="s">
        <v>81</v>
      </c>
      <c r="F10" s="39">
        <v>43623</v>
      </c>
      <c r="G10" s="3" t="s">
        <v>79</v>
      </c>
      <c r="H10" s="40">
        <v>0.21840000000000001</v>
      </c>
    </row>
    <row r="11" spans="1:8" x14ac:dyDescent="0.25">
      <c r="A11" s="3" t="s">
        <v>76</v>
      </c>
      <c r="B11" s="3">
        <v>13178</v>
      </c>
      <c r="C11" s="3" t="s">
        <v>77</v>
      </c>
      <c r="D11" s="3" t="s">
        <v>80</v>
      </c>
      <c r="E11" s="3" t="s">
        <v>81</v>
      </c>
      <c r="F11" s="39">
        <v>43623</v>
      </c>
      <c r="G11" s="3" t="s">
        <v>79</v>
      </c>
      <c r="H11" s="40">
        <v>0.188</v>
      </c>
    </row>
    <row r="12" spans="1:8" x14ac:dyDescent="0.25">
      <c r="A12" s="3" t="s">
        <v>76</v>
      </c>
      <c r="B12" s="3">
        <v>13178</v>
      </c>
      <c r="C12" s="3" t="s">
        <v>77</v>
      </c>
      <c r="D12" s="3" t="s">
        <v>82</v>
      </c>
      <c r="E12" s="3" t="s">
        <v>83</v>
      </c>
      <c r="F12" s="39">
        <v>43623</v>
      </c>
      <c r="G12" s="3" t="s">
        <v>79</v>
      </c>
      <c r="H12" s="40">
        <v>0.14000000000000001</v>
      </c>
    </row>
    <row r="13" spans="1:8" x14ac:dyDescent="0.25">
      <c r="A13" s="3" t="s">
        <v>115</v>
      </c>
      <c r="B13" s="3">
        <v>13112</v>
      </c>
      <c r="C13" s="3" t="s">
        <v>112</v>
      </c>
      <c r="D13" s="3" t="s">
        <v>116</v>
      </c>
      <c r="E13" s="3" t="s">
        <v>81</v>
      </c>
      <c r="F13" s="39">
        <v>43602</v>
      </c>
      <c r="G13" s="3" t="s">
        <v>111</v>
      </c>
      <c r="H13" s="40">
        <v>0.23200000000000001</v>
      </c>
    </row>
    <row r="14" spans="1:8" x14ac:dyDescent="0.25">
      <c r="A14" s="3" t="s">
        <v>108</v>
      </c>
      <c r="B14" s="3">
        <v>13112</v>
      </c>
      <c r="C14" s="3" t="s">
        <v>109</v>
      </c>
      <c r="D14" s="3" t="s">
        <v>110</v>
      </c>
      <c r="E14" s="3" t="s">
        <v>87</v>
      </c>
      <c r="F14" s="39">
        <v>43600</v>
      </c>
      <c r="G14" s="3" t="s">
        <v>111</v>
      </c>
      <c r="H14" s="40">
        <v>0.24399999999999999</v>
      </c>
    </row>
    <row r="15" spans="1:8" x14ac:dyDescent="0.25">
      <c r="A15" s="3" t="s">
        <v>114</v>
      </c>
      <c r="B15" s="3">
        <v>13112</v>
      </c>
      <c r="C15" s="3" t="s">
        <v>112</v>
      </c>
      <c r="D15" s="3" t="s">
        <v>113</v>
      </c>
      <c r="E15" s="3" t="s">
        <v>81</v>
      </c>
      <c r="F15" s="39">
        <v>43602</v>
      </c>
      <c r="G15" s="3" t="s">
        <v>111</v>
      </c>
      <c r="H15" s="40">
        <v>0.214</v>
      </c>
    </row>
    <row r="16" spans="1:8" x14ac:dyDescent="0.25">
      <c r="A16" s="3" t="s">
        <v>122</v>
      </c>
      <c r="B16" s="3">
        <v>13166</v>
      </c>
      <c r="C16" s="3" t="s">
        <v>123</v>
      </c>
      <c r="D16" s="3" t="s">
        <v>78</v>
      </c>
      <c r="E16" s="3" t="s">
        <v>81</v>
      </c>
      <c r="F16" s="39">
        <v>43734</v>
      </c>
      <c r="G16" s="3" t="s">
        <v>124</v>
      </c>
      <c r="H16" s="40">
        <v>0.214</v>
      </c>
    </row>
    <row r="17" spans="1:8" x14ac:dyDescent="0.25">
      <c r="A17" s="3" t="s">
        <v>125</v>
      </c>
      <c r="B17" s="3">
        <v>13119</v>
      </c>
      <c r="C17" s="3" t="s">
        <v>126</v>
      </c>
      <c r="D17" s="3" t="s">
        <v>127</v>
      </c>
      <c r="E17" s="3" t="s">
        <v>81</v>
      </c>
      <c r="F17" s="39">
        <v>43741</v>
      </c>
      <c r="G17" s="3" t="s">
        <v>103</v>
      </c>
      <c r="H17" s="40">
        <v>0.20499999999999999</v>
      </c>
    </row>
    <row r="18" spans="1:8" x14ac:dyDescent="0.25">
      <c r="A18" s="3" t="s">
        <v>128</v>
      </c>
      <c r="B18" s="3">
        <v>13125</v>
      </c>
      <c r="C18" s="3" t="s">
        <v>119</v>
      </c>
      <c r="D18" s="3" t="s">
        <v>129</v>
      </c>
      <c r="E18" s="3" t="s">
        <v>81</v>
      </c>
      <c r="F18" s="39">
        <v>43741</v>
      </c>
      <c r="G18" s="3" t="s">
        <v>130</v>
      </c>
      <c r="H18" s="40">
        <v>0.20799999999999999</v>
      </c>
    </row>
    <row r="19" spans="1:8" x14ac:dyDescent="0.25">
      <c r="A19" s="3" t="s">
        <v>121</v>
      </c>
      <c r="B19" s="3">
        <v>13125</v>
      </c>
      <c r="C19" s="3" t="s">
        <v>119</v>
      </c>
      <c r="D19" s="3" t="s">
        <v>131</v>
      </c>
      <c r="E19" s="3" t="s">
        <v>81</v>
      </c>
      <c r="F19" s="39">
        <v>43741</v>
      </c>
      <c r="G19" s="3" t="s">
        <v>130</v>
      </c>
      <c r="H19" s="40">
        <v>0.20799999999999999</v>
      </c>
    </row>
    <row r="20" spans="1:8" x14ac:dyDescent="0.25">
      <c r="A20" s="3" t="s">
        <v>132</v>
      </c>
      <c r="B20" s="3">
        <v>13128</v>
      </c>
      <c r="C20" s="3" t="s">
        <v>133</v>
      </c>
      <c r="D20" s="3" t="s">
        <v>134</v>
      </c>
      <c r="E20" s="3" t="s">
        <v>81</v>
      </c>
      <c r="F20" s="39">
        <v>43798</v>
      </c>
      <c r="G20" s="3" t="s">
        <v>118</v>
      </c>
      <c r="H20" s="40">
        <v>0.21609999999999999</v>
      </c>
    </row>
    <row r="21" spans="1:8" x14ac:dyDescent="0.25">
      <c r="A21" s="3" t="s">
        <v>135</v>
      </c>
      <c r="B21" s="3">
        <v>12104</v>
      </c>
      <c r="C21" s="3" t="s">
        <v>136</v>
      </c>
      <c r="D21" s="3" t="s">
        <v>137</v>
      </c>
      <c r="E21" s="3" t="s">
        <v>81</v>
      </c>
      <c r="F21" s="39">
        <v>43605</v>
      </c>
      <c r="G21" s="3" t="s">
        <v>88</v>
      </c>
      <c r="H21" s="40">
        <v>0.23200000000000001</v>
      </c>
    </row>
    <row r="22" spans="1:8" x14ac:dyDescent="0.25">
      <c r="A22" s="3" t="s">
        <v>138</v>
      </c>
      <c r="B22" s="3">
        <v>13122</v>
      </c>
      <c r="C22" s="3" t="s">
        <v>140</v>
      </c>
      <c r="D22" s="3" t="s">
        <v>139</v>
      </c>
      <c r="E22" s="3" t="s">
        <v>141</v>
      </c>
      <c r="F22" s="39">
        <v>44105</v>
      </c>
      <c r="G22" s="3" t="s">
        <v>96</v>
      </c>
      <c r="H22" s="40">
        <v>0.23200000000000001</v>
      </c>
    </row>
    <row r="23" spans="1:8" x14ac:dyDescent="0.25">
      <c r="A23" s="3" t="s">
        <v>92</v>
      </c>
      <c r="B23" s="3">
        <v>13131</v>
      </c>
      <c r="C23" s="3" t="s">
        <v>94</v>
      </c>
      <c r="D23" s="3" t="s">
        <v>142</v>
      </c>
      <c r="E23" s="3" t="s">
        <v>95</v>
      </c>
      <c r="F23" s="39">
        <v>43710</v>
      </c>
      <c r="G23" s="3" t="s">
        <v>96</v>
      </c>
      <c r="H23" s="40">
        <v>0.14599999999999999</v>
      </c>
    </row>
    <row r="24" spans="1:8" x14ac:dyDescent="0.25">
      <c r="A24" s="3" t="s">
        <v>143</v>
      </c>
      <c r="B24" s="3">
        <v>13168</v>
      </c>
      <c r="C24" s="3" t="s">
        <v>144</v>
      </c>
      <c r="D24" s="3" t="s">
        <v>145</v>
      </c>
      <c r="E24" s="3" t="s">
        <v>81</v>
      </c>
      <c r="F24" s="39">
        <v>43963</v>
      </c>
      <c r="G24" s="3" t="s">
        <v>88</v>
      </c>
      <c r="H24" s="40">
        <v>0.17799999999999999</v>
      </c>
    </row>
    <row r="25" spans="1:8" x14ac:dyDescent="0.25">
      <c r="A25" s="3" t="s">
        <v>146</v>
      </c>
      <c r="B25" s="3">
        <v>13112</v>
      </c>
      <c r="C25" s="3" t="s">
        <v>147</v>
      </c>
      <c r="D25" s="3" t="s">
        <v>148</v>
      </c>
      <c r="E25" s="3" t="s">
        <v>81</v>
      </c>
      <c r="F25" s="39">
        <v>44095</v>
      </c>
      <c r="G25" s="3" t="s">
        <v>149</v>
      </c>
      <c r="H25" s="40">
        <v>0.17710000000000001</v>
      </c>
    </row>
    <row r="26" spans="1:8" x14ac:dyDescent="0.25">
      <c r="A26" s="3" t="s">
        <v>150</v>
      </c>
      <c r="B26" s="3">
        <v>13112</v>
      </c>
      <c r="C26" s="3" t="s">
        <v>151</v>
      </c>
      <c r="D26" s="3" t="s">
        <v>78</v>
      </c>
      <c r="E26" s="3" t="s">
        <v>81</v>
      </c>
      <c r="F26" s="39">
        <v>44089</v>
      </c>
      <c r="G26" s="3" t="s">
        <v>149</v>
      </c>
      <c r="H26" s="40">
        <v>0.1208</v>
      </c>
    </row>
    <row r="27" spans="1:8" x14ac:dyDescent="0.25">
      <c r="A27" s="3" t="s">
        <v>152</v>
      </c>
      <c r="B27" s="3">
        <v>13112</v>
      </c>
      <c r="C27" s="3" t="s">
        <v>153</v>
      </c>
      <c r="D27" s="3" t="s">
        <v>154</v>
      </c>
      <c r="E27" s="3" t="s">
        <v>81</v>
      </c>
      <c r="F27" s="39">
        <v>44413</v>
      </c>
      <c r="G27" s="3" t="s">
        <v>155</v>
      </c>
      <c r="H27" s="40">
        <v>0.2107</v>
      </c>
    </row>
    <row r="28" spans="1:8" x14ac:dyDescent="0.25">
      <c r="A28" s="3" t="s">
        <v>156</v>
      </c>
      <c r="B28" s="3">
        <v>13110</v>
      </c>
      <c r="C28" s="3" t="s">
        <v>140</v>
      </c>
      <c r="D28" s="3" t="s">
        <v>157</v>
      </c>
      <c r="E28" s="3" t="s">
        <v>141</v>
      </c>
      <c r="F28" s="39">
        <v>44400</v>
      </c>
      <c r="G28" s="3" t="s">
        <v>155</v>
      </c>
      <c r="H28" s="40">
        <v>0.2208</v>
      </c>
    </row>
    <row r="29" spans="1:8" x14ac:dyDescent="0.25">
      <c r="A29" s="3" t="s">
        <v>158</v>
      </c>
      <c r="B29" s="3">
        <v>13166</v>
      </c>
      <c r="C29" s="3" t="s">
        <v>159</v>
      </c>
      <c r="D29" s="3" t="s">
        <v>78</v>
      </c>
      <c r="E29" s="3" t="s">
        <v>81</v>
      </c>
      <c r="F29" s="39">
        <v>44158</v>
      </c>
      <c r="G29" s="3" t="s">
        <v>96</v>
      </c>
      <c r="H29" s="40">
        <v>0.14000000000000001</v>
      </c>
    </row>
    <row r="30" spans="1:8" x14ac:dyDescent="0.25">
      <c r="A30" s="3" t="s">
        <v>160</v>
      </c>
      <c r="B30" s="3">
        <v>13166</v>
      </c>
      <c r="C30" s="3" t="s">
        <v>159</v>
      </c>
      <c r="D30" s="3" t="s">
        <v>140</v>
      </c>
      <c r="E30" s="3" t="s">
        <v>141</v>
      </c>
      <c r="F30" s="39">
        <v>44158</v>
      </c>
      <c r="G30" s="3" t="s">
        <v>96</v>
      </c>
      <c r="H30" s="40">
        <v>0.188</v>
      </c>
    </row>
    <row r="31" spans="1:8" x14ac:dyDescent="0.25">
      <c r="A31" s="3" t="s">
        <v>158</v>
      </c>
      <c r="B31" s="3">
        <v>13166</v>
      </c>
      <c r="C31" s="3" t="s">
        <v>159</v>
      </c>
      <c r="D31" s="3" t="s">
        <v>86</v>
      </c>
      <c r="E31" s="3" t="s">
        <v>87</v>
      </c>
      <c r="F31" s="39">
        <v>44158</v>
      </c>
      <c r="G31" s="3" t="s">
        <v>96</v>
      </c>
      <c r="H31" s="40">
        <v>0.218</v>
      </c>
    </row>
    <row r="32" spans="1:8" x14ac:dyDescent="0.25">
      <c r="A32" s="3" t="s">
        <v>161</v>
      </c>
      <c r="B32" s="3">
        <v>13119</v>
      </c>
      <c r="C32" s="3" t="s">
        <v>162</v>
      </c>
      <c r="D32" s="3" t="s">
        <v>163</v>
      </c>
      <c r="E32" s="3" t="s">
        <v>81</v>
      </c>
      <c r="F32" s="39">
        <v>44049</v>
      </c>
      <c r="G32" s="3" t="s">
        <v>96</v>
      </c>
      <c r="H32" s="40">
        <v>0.1676</v>
      </c>
    </row>
    <row r="33" spans="1:8" x14ac:dyDescent="0.25">
      <c r="A33" s="3" t="s">
        <v>164</v>
      </c>
      <c r="B33" s="3">
        <v>13111</v>
      </c>
      <c r="C33" s="3" t="s">
        <v>165</v>
      </c>
      <c r="D33" s="3" t="s">
        <v>166</v>
      </c>
      <c r="E33" s="3" t="s">
        <v>167</v>
      </c>
      <c r="F33" s="39">
        <v>44007</v>
      </c>
      <c r="G33" s="3" t="s">
        <v>168</v>
      </c>
      <c r="H33" s="40">
        <v>0.11</v>
      </c>
    </row>
    <row r="34" spans="1:8" x14ac:dyDescent="0.25">
      <c r="A34" s="3" t="s">
        <v>169</v>
      </c>
      <c r="B34" s="3">
        <v>13131</v>
      </c>
      <c r="C34" s="3" t="s">
        <v>170</v>
      </c>
      <c r="D34" s="3" t="s">
        <v>153</v>
      </c>
      <c r="E34" s="3" t="s">
        <v>167</v>
      </c>
      <c r="F34" s="39">
        <v>44109</v>
      </c>
      <c r="G34" s="3" t="s">
        <v>124</v>
      </c>
      <c r="H34" s="40">
        <v>0.14399999999999999</v>
      </c>
    </row>
    <row r="35" spans="1:8" x14ac:dyDescent="0.25">
      <c r="A35" s="3" t="s">
        <v>171</v>
      </c>
      <c r="B35" s="3">
        <v>13125</v>
      </c>
      <c r="C35" s="3" t="s">
        <v>172</v>
      </c>
      <c r="D35" s="3" t="s">
        <v>173</v>
      </c>
      <c r="E35" s="3" t="s">
        <v>167</v>
      </c>
      <c r="F35" s="39">
        <v>44088</v>
      </c>
      <c r="G35" s="3" t="s">
        <v>168</v>
      </c>
      <c r="H35" s="40">
        <v>0.11</v>
      </c>
    </row>
    <row r="36" spans="1:8" x14ac:dyDescent="0.25">
      <c r="A36" s="3" t="s">
        <v>101</v>
      </c>
      <c r="B36" s="3">
        <v>13131</v>
      </c>
      <c r="C36" s="3" t="s">
        <v>174</v>
      </c>
      <c r="D36" s="3" t="s">
        <v>173</v>
      </c>
      <c r="E36" s="3" t="s">
        <v>167</v>
      </c>
      <c r="F36" s="39">
        <v>43690</v>
      </c>
      <c r="G36" s="3" t="s">
        <v>103</v>
      </c>
      <c r="H36" s="40">
        <v>0.16839999999999999</v>
      </c>
    </row>
    <row r="37" spans="1:8" x14ac:dyDescent="0.25">
      <c r="A37" s="3" t="s">
        <v>175</v>
      </c>
      <c r="B37" s="3">
        <v>12104</v>
      </c>
      <c r="C37" s="3" t="s">
        <v>100</v>
      </c>
      <c r="D37" s="3" t="s">
        <v>86</v>
      </c>
      <c r="E37" s="3" t="s">
        <v>87</v>
      </c>
      <c r="F37" s="39">
        <v>43613</v>
      </c>
      <c r="G37" s="3" t="s">
        <v>88</v>
      </c>
      <c r="H37" s="40">
        <v>0.214</v>
      </c>
    </row>
    <row r="38" spans="1:8" x14ac:dyDescent="0.25">
      <c r="A38" s="3" t="s">
        <v>158</v>
      </c>
      <c r="B38" s="3">
        <v>13166</v>
      </c>
      <c r="C38" s="3" t="s">
        <v>159</v>
      </c>
      <c r="D38" s="3" t="s">
        <v>78</v>
      </c>
      <c r="E38" s="3" t="s">
        <v>81</v>
      </c>
      <c r="F38" s="39">
        <v>44158</v>
      </c>
      <c r="G38" s="3" t="s">
        <v>96</v>
      </c>
      <c r="H38" s="40">
        <v>0.14000000000000001</v>
      </c>
    </row>
    <row r="39" spans="1:8" x14ac:dyDescent="0.25">
      <c r="A39" s="3" t="s">
        <v>176</v>
      </c>
      <c r="B39" s="3">
        <v>13112</v>
      </c>
      <c r="C39" s="3" t="s">
        <v>177</v>
      </c>
      <c r="D39" s="3" t="s">
        <v>86</v>
      </c>
      <c r="E39" s="3" t="s">
        <v>87</v>
      </c>
      <c r="F39" s="39">
        <v>44531</v>
      </c>
      <c r="G39" s="3" t="s">
        <v>96</v>
      </c>
      <c r="H39" s="40">
        <v>0.20499999999999999</v>
      </c>
    </row>
    <row r="40" spans="1:8" x14ac:dyDescent="0.25">
      <c r="A40" s="3" t="s">
        <v>178</v>
      </c>
      <c r="B40" s="3">
        <v>13107</v>
      </c>
      <c r="C40" s="3" t="s">
        <v>179</v>
      </c>
      <c r="D40" s="3" t="s">
        <v>78</v>
      </c>
      <c r="E40" s="3" t="s">
        <v>81</v>
      </c>
      <c r="F40" s="39">
        <v>43985</v>
      </c>
      <c r="G40" s="3" t="s">
        <v>149</v>
      </c>
      <c r="H40" s="40">
        <v>0.20200000000000001</v>
      </c>
    </row>
    <row r="41" spans="1:8" x14ac:dyDescent="0.25">
      <c r="A41" s="3" t="s">
        <v>180</v>
      </c>
      <c r="B41" s="3">
        <v>13113</v>
      </c>
      <c r="C41" s="3" t="s">
        <v>179</v>
      </c>
      <c r="D41" s="3" t="s">
        <v>78</v>
      </c>
      <c r="E41" s="3" t="s">
        <v>87</v>
      </c>
      <c r="F41" s="39">
        <v>43985</v>
      </c>
      <c r="G41" s="3" t="s">
        <v>149</v>
      </c>
      <c r="H41" s="40">
        <v>0.22</v>
      </c>
    </row>
    <row r="42" spans="1:8" x14ac:dyDescent="0.25">
      <c r="A42" s="3" t="s">
        <v>114</v>
      </c>
      <c r="B42" s="3">
        <v>13112</v>
      </c>
      <c r="C42" s="3" t="s">
        <v>113</v>
      </c>
      <c r="D42" s="3" t="s">
        <v>86</v>
      </c>
      <c r="E42" s="3" t="s">
        <v>87</v>
      </c>
      <c r="F42" s="39">
        <v>43851</v>
      </c>
      <c r="G42" s="3" t="s">
        <v>111</v>
      </c>
      <c r="H42" s="40">
        <v>0.214</v>
      </c>
    </row>
    <row r="43" spans="1:8" x14ac:dyDescent="0.25">
      <c r="A43" s="3" t="s">
        <v>108</v>
      </c>
      <c r="B43" s="3">
        <v>13112</v>
      </c>
      <c r="C43" s="3" t="s">
        <v>181</v>
      </c>
      <c r="D43" s="3" t="s">
        <v>86</v>
      </c>
      <c r="E43" s="3" t="s">
        <v>87</v>
      </c>
      <c r="F43" s="39">
        <v>43598</v>
      </c>
      <c r="G43" s="3" t="s">
        <v>111</v>
      </c>
      <c r="H43" s="40">
        <v>0.24399999999999999</v>
      </c>
    </row>
    <row r="44" spans="1:8" x14ac:dyDescent="0.25">
      <c r="A44" s="3" t="s">
        <v>115</v>
      </c>
      <c r="B44" s="3">
        <v>13112</v>
      </c>
      <c r="C44" s="3" t="s">
        <v>137</v>
      </c>
      <c r="D44" s="3" t="s">
        <v>182</v>
      </c>
      <c r="E44" s="3" t="s">
        <v>87</v>
      </c>
      <c r="F44" s="39">
        <v>43602</v>
      </c>
      <c r="G44" s="3" t="s">
        <v>111</v>
      </c>
      <c r="H44" s="40">
        <v>0.23200000000000001</v>
      </c>
    </row>
    <row r="45" spans="1:8" x14ac:dyDescent="0.25">
      <c r="A45" s="3" t="s">
        <v>183</v>
      </c>
      <c r="B45" s="3">
        <v>13107</v>
      </c>
      <c r="C45" s="3" t="s">
        <v>184</v>
      </c>
      <c r="D45" s="3" t="s">
        <v>185</v>
      </c>
      <c r="E45" s="3" t="s">
        <v>167</v>
      </c>
      <c r="F45" s="39">
        <v>43741</v>
      </c>
      <c r="G45" s="3" t="s">
        <v>186</v>
      </c>
      <c r="H45" s="40">
        <v>0.13200000000000001</v>
      </c>
    </row>
    <row r="46" spans="1:8" x14ac:dyDescent="0.25">
      <c r="A46" s="3" t="s">
        <v>187</v>
      </c>
      <c r="B46" s="3">
        <v>13107</v>
      </c>
      <c r="C46" s="3" t="s">
        <v>188</v>
      </c>
      <c r="D46" s="3" t="s">
        <v>86</v>
      </c>
      <c r="E46" s="3" t="s">
        <v>87</v>
      </c>
      <c r="F46" s="39">
        <v>43741</v>
      </c>
      <c r="G46" s="3" t="s">
        <v>186</v>
      </c>
      <c r="H46" s="40">
        <v>0.17399999999999999</v>
      </c>
    </row>
    <row r="47" spans="1:8" x14ac:dyDescent="0.25">
      <c r="A47" s="3" t="s">
        <v>189</v>
      </c>
      <c r="B47" s="3">
        <v>13110</v>
      </c>
      <c r="C47" s="3" t="s">
        <v>190</v>
      </c>
      <c r="D47" s="3" t="s">
        <v>191</v>
      </c>
      <c r="E47" s="3" t="s">
        <v>167</v>
      </c>
      <c r="F47" s="39">
        <v>43794</v>
      </c>
      <c r="G47" s="3" t="s">
        <v>186</v>
      </c>
      <c r="H47" s="40">
        <v>0.16400000000000001</v>
      </c>
    </row>
    <row r="48" spans="1:8" x14ac:dyDescent="0.25">
      <c r="A48" s="3" t="s">
        <v>192</v>
      </c>
      <c r="B48" s="3">
        <v>13107</v>
      </c>
      <c r="C48" s="3" t="s">
        <v>190</v>
      </c>
      <c r="D48" s="3" t="s">
        <v>193</v>
      </c>
      <c r="E48" s="3" t="s">
        <v>81</v>
      </c>
      <c r="F48" s="39">
        <v>43788</v>
      </c>
      <c r="G48" s="3" t="s">
        <v>186</v>
      </c>
      <c r="H48" s="40">
        <v>0.2</v>
      </c>
    </row>
    <row r="49" spans="1:8" x14ac:dyDescent="0.25">
      <c r="A49" s="3" t="s">
        <v>194</v>
      </c>
      <c r="B49" s="3">
        <v>13107</v>
      </c>
      <c r="C49" s="3" t="s">
        <v>190</v>
      </c>
      <c r="D49" s="3" t="s">
        <v>195</v>
      </c>
      <c r="E49" s="3" t="s">
        <v>167</v>
      </c>
      <c r="F49" s="39">
        <v>43788</v>
      </c>
      <c r="G49" s="3" t="s">
        <v>186</v>
      </c>
      <c r="H49" s="40">
        <v>0.13400000000000001</v>
      </c>
    </row>
    <row r="50" spans="1:8" x14ac:dyDescent="0.25">
      <c r="A50" s="3" t="s">
        <v>196</v>
      </c>
      <c r="B50" s="3">
        <v>13107</v>
      </c>
      <c r="C50" s="3" t="s">
        <v>190</v>
      </c>
      <c r="D50" s="3" t="s">
        <v>197</v>
      </c>
      <c r="E50" s="3" t="s">
        <v>95</v>
      </c>
      <c r="F50" s="39">
        <v>43788</v>
      </c>
      <c r="G50" s="3" t="s">
        <v>186</v>
      </c>
      <c r="H50" s="40">
        <v>0.17599999999999999</v>
      </c>
    </row>
    <row r="51" spans="1:8" x14ac:dyDescent="0.25">
      <c r="A51" s="3" t="s">
        <v>198</v>
      </c>
      <c r="B51" s="3">
        <v>13107</v>
      </c>
      <c r="C51" s="3" t="s">
        <v>190</v>
      </c>
      <c r="D51" s="3" t="s">
        <v>86</v>
      </c>
      <c r="E51" s="3" t="s">
        <v>87</v>
      </c>
      <c r="F51" s="39">
        <v>43788</v>
      </c>
      <c r="G51" s="3" t="s">
        <v>186</v>
      </c>
      <c r="H51" s="40">
        <v>0.22600000000000001</v>
      </c>
    </row>
    <row r="52" spans="1:8" x14ac:dyDescent="0.25">
      <c r="A52" s="3" t="s">
        <v>89</v>
      </c>
      <c r="B52" s="3">
        <v>13174</v>
      </c>
      <c r="C52" s="3" t="s">
        <v>90</v>
      </c>
      <c r="D52" s="3" t="s">
        <v>86</v>
      </c>
      <c r="E52" s="3" t="s">
        <v>87</v>
      </c>
      <c r="F52" s="39">
        <v>43623</v>
      </c>
      <c r="G52" s="3" t="s">
        <v>79</v>
      </c>
      <c r="H52" s="40">
        <v>0.22389999999999999</v>
      </c>
    </row>
    <row r="53" spans="1:8" x14ac:dyDescent="0.25">
      <c r="A53" s="3" t="s">
        <v>199</v>
      </c>
      <c r="B53" s="3">
        <v>13178</v>
      </c>
      <c r="C53" s="3" t="s">
        <v>77</v>
      </c>
      <c r="D53" s="3" t="s">
        <v>201</v>
      </c>
      <c r="E53" s="3" t="s">
        <v>167</v>
      </c>
      <c r="F53" s="39">
        <v>43623</v>
      </c>
      <c r="G53" s="3" t="s">
        <v>79</v>
      </c>
      <c r="H53" s="40">
        <v>0.188</v>
      </c>
    </row>
    <row r="54" spans="1:8" x14ac:dyDescent="0.25">
      <c r="A54" s="3" t="s">
        <v>200</v>
      </c>
      <c r="B54" s="3">
        <v>13178</v>
      </c>
      <c r="C54" s="3" t="s">
        <v>77</v>
      </c>
      <c r="D54" s="3" t="s">
        <v>82</v>
      </c>
      <c r="E54" s="3" t="s">
        <v>83</v>
      </c>
      <c r="F54" s="39">
        <v>43623</v>
      </c>
      <c r="G54" s="3" t="s">
        <v>79</v>
      </c>
      <c r="H54" s="40">
        <v>0.14000000000000001</v>
      </c>
    </row>
    <row r="55" spans="1:8" x14ac:dyDescent="0.25">
      <c r="A55" s="3" t="s">
        <v>76</v>
      </c>
      <c r="B55" s="3">
        <v>13178</v>
      </c>
      <c r="C55" s="3" t="s">
        <v>77</v>
      </c>
      <c r="D55" s="3" t="s">
        <v>78</v>
      </c>
      <c r="E55" s="3" t="s">
        <v>81</v>
      </c>
      <c r="F55" s="39">
        <v>43623</v>
      </c>
      <c r="G55" s="3" t="s">
        <v>79</v>
      </c>
      <c r="H55" s="40">
        <v>0.21840000000000001</v>
      </c>
    </row>
    <row r="56" spans="1:8" x14ac:dyDescent="0.25">
      <c r="A56" s="3" t="s">
        <v>202</v>
      </c>
      <c r="B56" s="3">
        <v>13176</v>
      </c>
      <c r="C56" s="3" t="s">
        <v>203</v>
      </c>
      <c r="D56" s="3" t="s">
        <v>204</v>
      </c>
      <c r="E56" s="3" t="s">
        <v>167</v>
      </c>
      <c r="F56" s="39">
        <v>43804</v>
      </c>
      <c r="G56" s="3" t="s">
        <v>79</v>
      </c>
      <c r="H56" s="40">
        <v>0.26</v>
      </c>
    </row>
    <row r="57" spans="1:8" x14ac:dyDescent="0.25">
      <c r="A57" s="3" t="s">
        <v>205</v>
      </c>
      <c r="B57" s="3">
        <v>13174</v>
      </c>
      <c r="C57" s="3" t="s">
        <v>90</v>
      </c>
      <c r="D57" s="3" t="s">
        <v>206</v>
      </c>
      <c r="E57" s="3" t="s">
        <v>167</v>
      </c>
      <c r="F57" s="39">
        <v>43804</v>
      </c>
      <c r="G57" s="3" t="s">
        <v>79</v>
      </c>
      <c r="H57" s="40">
        <v>0.1444</v>
      </c>
    </row>
    <row r="58" spans="1:8" x14ac:dyDescent="0.25">
      <c r="A58" s="3" t="s">
        <v>207</v>
      </c>
      <c r="B58" s="3">
        <v>13174</v>
      </c>
      <c r="C58" s="3" t="s">
        <v>90</v>
      </c>
      <c r="D58" s="3" t="s">
        <v>208</v>
      </c>
      <c r="E58" s="3" t="s">
        <v>167</v>
      </c>
      <c r="F58" s="39">
        <v>43804</v>
      </c>
      <c r="G58" s="3" t="s">
        <v>79</v>
      </c>
      <c r="H58" s="40">
        <v>0.17630000000000001</v>
      </c>
    </row>
    <row r="59" spans="1:8" x14ac:dyDescent="0.25">
      <c r="A59" s="3" t="s">
        <v>210</v>
      </c>
      <c r="B59" s="3">
        <v>12201</v>
      </c>
      <c r="C59" s="3" t="s">
        <v>211</v>
      </c>
      <c r="D59" s="3" t="s">
        <v>212</v>
      </c>
      <c r="E59" s="3" t="s">
        <v>213</v>
      </c>
      <c r="F59" s="39">
        <v>44606</v>
      </c>
      <c r="G59" s="3" t="s">
        <v>22</v>
      </c>
      <c r="H59" s="40" t="s">
        <v>214</v>
      </c>
    </row>
    <row r="60" spans="1:8" x14ac:dyDescent="0.25">
      <c r="A60" s="3" t="s">
        <v>219</v>
      </c>
      <c r="B60" s="3">
        <v>12106</v>
      </c>
      <c r="C60" s="3" t="s">
        <v>220</v>
      </c>
      <c r="D60" s="3" t="s">
        <v>221</v>
      </c>
      <c r="E60" s="3" t="s">
        <v>222</v>
      </c>
      <c r="F60" s="39">
        <v>44649</v>
      </c>
      <c r="G60" s="3" t="s">
        <v>223</v>
      </c>
      <c r="H60" s="40" t="s">
        <v>224</v>
      </c>
    </row>
  </sheetData>
  <autoFilter ref="A1:H1" xr:uid="{00000000-0009-0000-0000-000001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E1:R29"/>
  <sheetViews>
    <sheetView showGridLines="0" zoomScaleNormal="100" workbookViewId="0">
      <selection activeCell="L27" sqref="L27"/>
    </sheetView>
  </sheetViews>
  <sheetFormatPr defaultRowHeight="15" x14ac:dyDescent="0.25"/>
  <cols>
    <col min="1" max="1" width="7.7109375" customWidth="1"/>
    <col min="2" max="2" width="2.28515625" customWidth="1"/>
    <col min="3" max="3" width="5.42578125" customWidth="1"/>
    <col min="4" max="4" width="2.7109375" customWidth="1"/>
    <col min="5" max="5" width="4.7109375" customWidth="1"/>
    <col min="6" max="6" width="17.28515625" customWidth="1"/>
    <col min="7" max="7" width="9.42578125" bestFit="1" customWidth="1"/>
    <col min="8" max="8" width="3.7109375" customWidth="1"/>
    <col min="9" max="10" width="6.85546875" customWidth="1"/>
    <col min="11" max="11" width="10.85546875" customWidth="1"/>
    <col min="12" max="12" width="18.85546875" customWidth="1"/>
    <col min="13" max="13" width="2.7109375" customWidth="1"/>
    <col min="14" max="14" width="3.7109375" customWidth="1"/>
    <col min="15" max="15" width="4.7109375" customWidth="1"/>
    <col min="16" max="16" width="10.7109375" bestFit="1" customWidth="1"/>
    <col min="17" max="17" width="21.5703125" customWidth="1"/>
    <col min="18" max="19" width="2.7109375" customWidth="1"/>
  </cols>
  <sheetData>
    <row r="1" spans="5:18" ht="9" customHeight="1" x14ac:dyDescent="0.25"/>
    <row r="2" spans="5:18" ht="15.75" x14ac:dyDescent="0.25">
      <c r="E2" s="47" t="s">
        <v>6</v>
      </c>
      <c r="F2" s="47"/>
    </row>
    <row r="3" spans="5:18" x14ac:dyDescent="0.25">
      <c r="E3" s="10"/>
      <c r="F3" s="29" t="s">
        <v>7</v>
      </c>
      <c r="G3" s="4"/>
      <c r="H3" s="4"/>
      <c r="I3" s="4"/>
      <c r="J3" s="4"/>
      <c r="K3" s="4"/>
      <c r="L3" s="4"/>
      <c r="M3" s="51" t="s">
        <v>67</v>
      </c>
      <c r="N3" s="51"/>
      <c r="O3" s="51"/>
      <c r="P3" s="4"/>
      <c r="Q3" s="4"/>
      <c r="R3" s="25"/>
    </row>
    <row r="4" spans="5:18" x14ac:dyDescent="0.25">
      <c r="E4" s="6"/>
      <c r="F4" s="34"/>
      <c r="L4" s="34"/>
      <c r="M4" s="34"/>
      <c r="N4" s="34"/>
      <c r="O4" s="34"/>
      <c r="R4" s="7"/>
    </row>
    <row r="5" spans="5:18" x14ac:dyDescent="0.25">
      <c r="E5" s="6"/>
      <c r="F5" s="18" t="s">
        <v>68</v>
      </c>
      <c r="G5" s="17"/>
      <c r="K5" s="18" t="s">
        <v>69</v>
      </c>
      <c r="L5" s="17"/>
      <c r="M5" s="45" t="s">
        <v>70</v>
      </c>
      <c r="N5" s="45"/>
      <c r="O5" s="45"/>
      <c r="P5" s="17"/>
      <c r="R5" s="26"/>
    </row>
    <row r="6" spans="5:18" x14ac:dyDescent="0.25">
      <c r="E6" s="6"/>
      <c r="F6" s="18"/>
      <c r="G6" s="17"/>
      <c r="I6" s="16"/>
      <c r="J6" s="16"/>
      <c r="K6" s="16"/>
      <c r="L6" s="34"/>
      <c r="M6" s="45"/>
      <c r="N6" s="45"/>
      <c r="O6" s="34"/>
      <c r="Q6" s="15"/>
      <c r="R6" s="26"/>
    </row>
    <row r="7" spans="5:18" x14ac:dyDescent="0.25">
      <c r="E7" s="6"/>
      <c r="F7" s="18" t="s">
        <v>9</v>
      </c>
      <c r="G7" s="17" t="s">
        <v>22</v>
      </c>
      <c r="I7" s="16"/>
      <c r="J7" s="16"/>
      <c r="K7" s="16"/>
      <c r="L7" s="34"/>
      <c r="M7" s="45" t="s">
        <v>8</v>
      </c>
      <c r="N7" s="45"/>
      <c r="O7" s="45"/>
      <c r="P7" s="35">
        <v>44606</v>
      </c>
      <c r="Q7" s="15"/>
      <c r="R7" s="26"/>
    </row>
    <row r="8" spans="5:18" ht="5.25" customHeight="1" x14ac:dyDescent="0.25">
      <c r="E8" s="8"/>
      <c r="F8" s="9"/>
      <c r="G8" s="9"/>
      <c r="H8" s="9"/>
      <c r="I8" s="9"/>
      <c r="J8" s="9"/>
      <c r="K8" s="9"/>
      <c r="L8" s="9"/>
      <c r="M8" s="36"/>
      <c r="N8" s="36"/>
      <c r="O8" s="36"/>
      <c r="P8" s="9"/>
      <c r="Q8" s="9"/>
      <c r="R8" s="24"/>
    </row>
    <row r="9" spans="5:18" ht="5.25" customHeight="1" x14ac:dyDescent="0.25"/>
    <row r="10" spans="5:18" ht="5.25" customHeight="1" x14ac:dyDescent="0.25"/>
    <row r="11" spans="5:18" ht="5.25" customHeight="1" x14ac:dyDescent="0.25"/>
    <row r="12" spans="5:18" ht="5.25" customHeight="1" x14ac:dyDescent="0.25"/>
    <row r="13" spans="5:18" ht="5.25" customHeight="1" x14ac:dyDescent="0.25"/>
    <row r="14" spans="5:18" ht="15.75" x14ac:dyDescent="0.25">
      <c r="E14" s="46" t="s">
        <v>10</v>
      </c>
      <c r="F14" s="46"/>
      <c r="H14" s="11"/>
    </row>
    <row r="15" spans="5:18" x14ac:dyDescent="0.25">
      <c r="E15" s="10"/>
      <c r="F15" s="31" t="s">
        <v>11</v>
      </c>
      <c r="G15" s="12"/>
      <c r="H15" s="13"/>
      <c r="I15" s="14"/>
      <c r="J15" s="32" t="s">
        <v>73</v>
      </c>
      <c r="K15" s="4"/>
      <c r="L15" s="5"/>
      <c r="N15" s="14"/>
      <c r="O15" s="31" t="s">
        <v>17</v>
      </c>
      <c r="P15" s="31"/>
      <c r="Q15" s="4"/>
      <c r="R15" s="21"/>
    </row>
    <row r="16" spans="5:18" x14ac:dyDescent="0.25">
      <c r="E16" s="6"/>
      <c r="F16" t="s">
        <v>26</v>
      </c>
      <c r="G16" s="23"/>
      <c r="H16" s="13"/>
      <c r="I16" s="27"/>
      <c r="L16" s="7"/>
      <c r="N16" s="27"/>
      <c r="O16" t="s">
        <v>59</v>
      </c>
      <c r="R16" s="22"/>
    </row>
    <row r="17" spans="5:18" x14ac:dyDescent="0.25">
      <c r="E17" s="6"/>
      <c r="F17" s="20"/>
      <c r="G17" s="23"/>
      <c r="H17" s="13"/>
      <c r="I17" s="27"/>
      <c r="J17" s="13"/>
      <c r="L17" s="7"/>
      <c r="N17" s="27"/>
      <c r="O17" s="20"/>
      <c r="P17" s="20"/>
      <c r="R17" s="22"/>
    </row>
    <row r="18" spans="5:18" x14ac:dyDescent="0.25">
      <c r="E18" s="6"/>
      <c r="F18" s="30" t="s">
        <v>12</v>
      </c>
      <c r="G18" s="23"/>
      <c r="H18" s="13"/>
      <c r="I18" s="27"/>
      <c r="J18" s="30" t="s">
        <v>15</v>
      </c>
      <c r="L18" s="7"/>
      <c r="N18" s="27"/>
      <c r="O18" s="30" t="s">
        <v>18</v>
      </c>
      <c r="P18" s="30"/>
      <c r="R18" s="22"/>
    </row>
    <row r="19" spans="5:18" x14ac:dyDescent="0.25">
      <c r="E19" s="6"/>
      <c r="F19" t="s">
        <v>26</v>
      </c>
      <c r="G19" s="23"/>
      <c r="H19" s="13"/>
      <c r="I19" s="27"/>
      <c r="J19" t="s">
        <v>54</v>
      </c>
      <c r="L19" s="7"/>
      <c r="N19" s="27"/>
      <c r="O19" t="s">
        <v>216</v>
      </c>
      <c r="R19" s="23"/>
    </row>
    <row r="20" spans="5:18" x14ac:dyDescent="0.25">
      <c r="E20" s="6"/>
      <c r="F20" s="20"/>
      <c r="G20" s="23"/>
      <c r="H20" s="13"/>
      <c r="I20" s="27"/>
      <c r="J20" s="20"/>
      <c r="L20" s="7"/>
      <c r="N20" s="27"/>
      <c r="O20" s="13"/>
      <c r="P20" s="13"/>
      <c r="R20" s="23"/>
    </row>
    <row r="21" spans="5:18" x14ac:dyDescent="0.25">
      <c r="E21" s="6"/>
      <c r="F21" s="30" t="s">
        <v>72</v>
      </c>
      <c r="G21" s="23"/>
      <c r="H21" s="13"/>
      <c r="I21" s="27"/>
      <c r="J21" s="30" t="s">
        <v>16</v>
      </c>
      <c r="L21" s="7"/>
      <c r="N21" s="27"/>
      <c r="O21" s="33" t="s">
        <v>19</v>
      </c>
      <c r="P21" s="33"/>
      <c r="R21" s="23"/>
    </row>
    <row r="22" spans="5:18" x14ac:dyDescent="0.25">
      <c r="E22" s="6"/>
      <c r="G22" s="23"/>
      <c r="H22" s="13"/>
      <c r="I22" s="27"/>
      <c r="J22" t="s">
        <v>56</v>
      </c>
      <c r="L22" s="7"/>
      <c r="N22" s="27"/>
      <c r="O22" t="s">
        <v>217</v>
      </c>
      <c r="R22" s="23"/>
    </row>
    <row r="23" spans="5:18" x14ac:dyDescent="0.25">
      <c r="E23" s="8"/>
      <c r="F23" s="28"/>
      <c r="G23" s="24"/>
      <c r="I23" s="8"/>
      <c r="J23" s="9"/>
      <c r="K23" s="9"/>
      <c r="L23" s="24"/>
      <c r="N23" s="8"/>
      <c r="O23" s="9"/>
      <c r="P23" s="9"/>
      <c r="Q23" s="9"/>
      <c r="R23" s="24"/>
    </row>
    <row r="24" spans="5:18" ht="5.25" customHeight="1" x14ac:dyDescent="0.25"/>
    <row r="25" spans="5:18" ht="15.75" x14ac:dyDescent="0.25">
      <c r="E25" s="38" t="s">
        <v>21</v>
      </c>
    </row>
    <row r="26" spans="5:18" x14ac:dyDescent="0.25">
      <c r="E26" s="10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5"/>
    </row>
    <row r="27" spans="5:18" ht="15.75" x14ac:dyDescent="0.25">
      <c r="E27" s="48" t="s">
        <v>20</v>
      </c>
      <c r="F27" s="45"/>
      <c r="G27" s="45"/>
      <c r="H27" s="49" t="s">
        <v>65</v>
      </c>
      <c r="I27" s="49"/>
      <c r="J27" s="16"/>
      <c r="K27" s="16" t="s">
        <v>66</v>
      </c>
      <c r="L27" t="s">
        <v>215</v>
      </c>
      <c r="M27" s="50" t="s">
        <v>71</v>
      </c>
      <c r="N27" s="50"/>
      <c r="O27" s="50"/>
      <c r="P27" s="50"/>
      <c r="Q27" s="37" t="s">
        <v>218</v>
      </c>
      <c r="R27" s="7"/>
    </row>
    <row r="28" spans="5:18" x14ac:dyDescent="0.25"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4"/>
    </row>
    <row r="29" spans="5:18" ht="9" customHeight="1" x14ac:dyDescent="0.25"/>
  </sheetData>
  <mergeCells count="9">
    <mergeCell ref="M5:O5"/>
    <mergeCell ref="E14:F14"/>
    <mergeCell ref="E2:F2"/>
    <mergeCell ref="M6:N6"/>
    <mergeCell ref="E27:G27"/>
    <mergeCell ref="H27:I27"/>
    <mergeCell ref="M27:P27"/>
    <mergeCell ref="M7:O7"/>
    <mergeCell ref="M3:O3"/>
  </mergeCells>
  <pageMargins left="0.23622047244094491" right="0.23622047244094491" top="0.74803149606299213" bottom="0.74803149606299213" header="0.31496062992125984" footer="0.31496062992125984"/>
  <pageSetup paperSize="9" scale="98" orientation="landscape" r:id="rId1"/>
  <headerFooter>
    <oddHeader>&amp;C&amp;"-,Negrito"&amp;16&amp;K01+011ANÁLISE DE FADIGA&amp;R&amp;D       &amp;T</oddHeader>
    <oddFooter>&amp;C&amp;Z&amp;F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pageSetUpPr fitToPage="1"/>
  </sheetPr>
  <dimension ref="A1:E56"/>
  <sheetViews>
    <sheetView showGridLines="0" zoomScale="70" zoomScaleNormal="70" workbookViewId="0">
      <selection activeCell="C38" sqref="C38"/>
    </sheetView>
  </sheetViews>
  <sheetFormatPr defaultRowHeight="15" x14ac:dyDescent="0.25"/>
  <cols>
    <col min="1" max="1" width="13.7109375" style="3" customWidth="1"/>
    <col min="2" max="2" width="30.85546875" style="3" bestFit="1" customWidth="1"/>
    <col min="3" max="3" width="49" style="3" bestFit="1" customWidth="1"/>
    <col min="4" max="4" width="31.5703125" style="3" bestFit="1" customWidth="1"/>
    <col min="5" max="5" width="33.140625" style="44" customWidth="1"/>
    <col min="6" max="16384" width="9.140625" style="3"/>
  </cols>
  <sheetData>
    <row r="1" spans="1:5" x14ac:dyDescent="0.25">
      <c r="A1" s="3" t="s">
        <v>0</v>
      </c>
      <c r="B1" s="3" t="s">
        <v>2</v>
      </c>
      <c r="C1" s="3" t="s">
        <v>74</v>
      </c>
      <c r="D1" s="3" t="s">
        <v>75</v>
      </c>
      <c r="E1" s="44" t="s">
        <v>209</v>
      </c>
    </row>
    <row r="2" spans="1:5" x14ac:dyDescent="0.25">
      <c r="A2" s="3" t="s">
        <v>202</v>
      </c>
      <c r="B2" s="3" t="s">
        <v>203</v>
      </c>
      <c r="C2" s="3" t="s">
        <v>204</v>
      </c>
      <c r="D2" s="3" t="s">
        <v>167</v>
      </c>
      <c r="E2" s="44">
        <v>0.26</v>
      </c>
    </row>
    <row r="3" spans="1:5" x14ac:dyDescent="0.25">
      <c r="A3" s="3" t="s">
        <v>108</v>
      </c>
      <c r="B3" s="3" t="s">
        <v>181</v>
      </c>
      <c r="C3" s="3" t="s">
        <v>86</v>
      </c>
      <c r="D3" s="3" t="s">
        <v>87</v>
      </c>
      <c r="E3" s="44">
        <v>0.24399999999999999</v>
      </c>
    </row>
    <row r="4" spans="1:5" x14ac:dyDescent="0.25">
      <c r="A4" s="3" t="s">
        <v>108</v>
      </c>
      <c r="B4" s="3" t="s">
        <v>109</v>
      </c>
      <c r="C4" s="3" t="s">
        <v>110</v>
      </c>
      <c r="D4" s="3" t="s">
        <v>87</v>
      </c>
      <c r="E4" s="44">
        <v>0.24399999999999999</v>
      </c>
    </row>
    <row r="5" spans="1:5" x14ac:dyDescent="0.25">
      <c r="A5" s="3" t="s">
        <v>89</v>
      </c>
      <c r="B5" s="3" t="s">
        <v>90</v>
      </c>
      <c r="C5" s="3" t="s">
        <v>91</v>
      </c>
      <c r="D5" s="3" t="s">
        <v>87</v>
      </c>
      <c r="E5" s="44">
        <v>0.2339</v>
      </c>
    </row>
    <row r="6" spans="1:5" x14ac:dyDescent="0.25">
      <c r="A6" s="3" t="s">
        <v>135</v>
      </c>
      <c r="B6" s="3" t="s">
        <v>136</v>
      </c>
      <c r="C6" s="3" t="s">
        <v>137</v>
      </c>
      <c r="D6" s="3" t="s">
        <v>81</v>
      </c>
      <c r="E6" s="44">
        <v>0.23200000000000001</v>
      </c>
    </row>
    <row r="7" spans="1:5" x14ac:dyDescent="0.25">
      <c r="A7" s="3" t="s">
        <v>99</v>
      </c>
      <c r="B7" s="3" t="s">
        <v>100</v>
      </c>
      <c r="C7" s="3" t="s">
        <v>86</v>
      </c>
      <c r="D7" s="3" t="s">
        <v>87</v>
      </c>
      <c r="E7" s="44">
        <v>0.23200000000000001</v>
      </c>
    </row>
    <row r="8" spans="1:5" x14ac:dyDescent="0.25">
      <c r="A8" s="3" t="s">
        <v>97</v>
      </c>
      <c r="B8" s="3" t="s">
        <v>98</v>
      </c>
      <c r="C8" s="3" t="s">
        <v>86</v>
      </c>
      <c r="D8" s="3" t="s">
        <v>87</v>
      </c>
      <c r="E8" s="44">
        <v>0.23200000000000001</v>
      </c>
    </row>
    <row r="9" spans="1:5" x14ac:dyDescent="0.25">
      <c r="A9" s="3" t="s">
        <v>84</v>
      </c>
      <c r="B9" s="3" t="s">
        <v>85</v>
      </c>
      <c r="C9" s="3" t="s">
        <v>86</v>
      </c>
      <c r="D9" s="3" t="s">
        <v>87</v>
      </c>
      <c r="E9" s="44">
        <v>0.23200000000000001</v>
      </c>
    </row>
    <row r="10" spans="1:5" x14ac:dyDescent="0.25">
      <c r="A10" s="3" t="s">
        <v>138</v>
      </c>
      <c r="B10" s="3" t="s">
        <v>140</v>
      </c>
      <c r="C10" s="3" t="s">
        <v>139</v>
      </c>
      <c r="D10" s="3" t="s">
        <v>141</v>
      </c>
      <c r="E10" s="44">
        <v>0.23200000000000001</v>
      </c>
    </row>
    <row r="11" spans="1:5" x14ac:dyDescent="0.25">
      <c r="A11" s="3" t="s">
        <v>115</v>
      </c>
      <c r="B11" s="3" t="s">
        <v>137</v>
      </c>
      <c r="C11" s="3" t="s">
        <v>182</v>
      </c>
      <c r="D11" s="3" t="s">
        <v>87</v>
      </c>
      <c r="E11" s="44">
        <v>0.23200000000000001</v>
      </c>
    </row>
    <row r="12" spans="1:5" x14ac:dyDescent="0.25">
      <c r="A12" s="3" t="s">
        <v>115</v>
      </c>
      <c r="B12" s="3" t="s">
        <v>112</v>
      </c>
      <c r="C12" s="3" t="s">
        <v>116</v>
      </c>
      <c r="D12" s="3" t="s">
        <v>81</v>
      </c>
      <c r="E12" s="44">
        <v>0.23200000000000001</v>
      </c>
    </row>
    <row r="13" spans="1:5" x14ac:dyDescent="0.25">
      <c r="A13" s="3" t="s">
        <v>198</v>
      </c>
      <c r="B13" s="3" t="s">
        <v>190</v>
      </c>
      <c r="C13" s="3" t="s">
        <v>86</v>
      </c>
      <c r="D13" s="3" t="s">
        <v>87</v>
      </c>
      <c r="E13" s="44">
        <v>0.22600000000000001</v>
      </c>
    </row>
    <row r="14" spans="1:5" x14ac:dyDescent="0.25">
      <c r="A14" s="3" t="s">
        <v>89</v>
      </c>
      <c r="B14" s="3" t="s">
        <v>90</v>
      </c>
      <c r="C14" s="3" t="s">
        <v>86</v>
      </c>
      <c r="D14" s="3" t="s">
        <v>87</v>
      </c>
      <c r="E14" s="44">
        <v>0.22389999999999999</v>
      </c>
    </row>
    <row r="15" spans="1:5" x14ac:dyDescent="0.25">
      <c r="A15" s="3" t="s">
        <v>156</v>
      </c>
      <c r="B15" s="3" t="s">
        <v>140</v>
      </c>
      <c r="C15" s="3" t="s">
        <v>157</v>
      </c>
      <c r="D15" s="3" t="s">
        <v>141</v>
      </c>
      <c r="E15" s="44">
        <v>0.2208</v>
      </c>
    </row>
    <row r="16" spans="1:5" x14ac:dyDescent="0.25">
      <c r="A16" s="3" t="s">
        <v>180</v>
      </c>
      <c r="B16" s="3" t="s">
        <v>179</v>
      </c>
      <c r="C16" s="3" t="s">
        <v>78</v>
      </c>
      <c r="D16" s="3" t="s">
        <v>87</v>
      </c>
      <c r="E16" s="44">
        <v>0.22</v>
      </c>
    </row>
    <row r="17" spans="1:5" x14ac:dyDescent="0.25">
      <c r="A17" s="3" t="s">
        <v>76</v>
      </c>
      <c r="B17" s="3" t="s">
        <v>77</v>
      </c>
      <c r="C17" s="3" t="s">
        <v>78</v>
      </c>
      <c r="D17" s="3" t="s">
        <v>81</v>
      </c>
      <c r="E17" s="44">
        <v>0.21840000000000001</v>
      </c>
    </row>
    <row r="18" spans="1:5" x14ac:dyDescent="0.25">
      <c r="A18" s="3" t="s">
        <v>158</v>
      </c>
      <c r="B18" s="3" t="s">
        <v>159</v>
      </c>
      <c r="C18" s="3" t="s">
        <v>86</v>
      </c>
      <c r="D18" s="3" t="s">
        <v>87</v>
      </c>
      <c r="E18" s="44">
        <v>0.218</v>
      </c>
    </row>
    <row r="19" spans="1:5" x14ac:dyDescent="0.25">
      <c r="A19" s="3" t="s">
        <v>132</v>
      </c>
      <c r="B19" s="3" t="s">
        <v>133</v>
      </c>
      <c r="C19" s="3" t="s">
        <v>134</v>
      </c>
      <c r="D19" s="3" t="s">
        <v>81</v>
      </c>
      <c r="E19" s="44">
        <v>0.21609999999999999</v>
      </c>
    </row>
    <row r="20" spans="1:5" x14ac:dyDescent="0.25">
      <c r="A20" s="3" t="s">
        <v>175</v>
      </c>
      <c r="B20" s="3" t="s">
        <v>100</v>
      </c>
      <c r="C20" s="3" t="s">
        <v>86</v>
      </c>
      <c r="D20" s="3" t="s">
        <v>87</v>
      </c>
      <c r="E20" s="44">
        <v>0.214</v>
      </c>
    </row>
    <row r="21" spans="1:5" x14ac:dyDescent="0.25">
      <c r="A21" s="3" t="s">
        <v>114</v>
      </c>
      <c r="B21" s="3" t="s">
        <v>113</v>
      </c>
      <c r="C21" s="3" t="s">
        <v>86</v>
      </c>
      <c r="D21" s="3" t="s">
        <v>87</v>
      </c>
      <c r="E21" s="44">
        <v>0.214</v>
      </c>
    </row>
    <row r="22" spans="1:5" x14ac:dyDescent="0.25">
      <c r="A22" s="3" t="s">
        <v>114</v>
      </c>
      <c r="B22" s="3" t="s">
        <v>112</v>
      </c>
      <c r="C22" s="3" t="s">
        <v>113</v>
      </c>
      <c r="D22" s="3" t="s">
        <v>81</v>
      </c>
      <c r="E22" s="44">
        <v>0.214</v>
      </c>
    </row>
    <row r="23" spans="1:5" x14ac:dyDescent="0.25">
      <c r="A23" s="3" t="s">
        <v>122</v>
      </c>
      <c r="B23" s="3" t="s">
        <v>123</v>
      </c>
      <c r="C23" s="3" t="s">
        <v>78</v>
      </c>
      <c r="D23" s="3" t="s">
        <v>81</v>
      </c>
      <c r="E23" s="44">
        <v>0.214</v>
      </c>
    </row>
    <row r="24" spans="1:5" x14ac:dyDescent="0.25">
      <c r="A24" s="3" t="s">
        <v>101</v>
      </c>
      <c r="B24" s="3" t="s">
        <v>102</v>
      </c>
      <c r="C24" s="3" t="s">
        <v>78</v>
      </c>
      <c r="D24" s="3" t="s">
        <v>81</v>
      </c>
      <c r="E24" s="44">
        <v>0.21199999999999999</v>
      </c>
    </row>
    <row r="25" spans="1:5" x14ac:dyDescent="0.25">
      <c r="A25" s="3" t="s">
        <v>152</v>
      </c>
      <c r="B25" s="3" t="s">
        <v>153</v>
      </c>
      <c r="C25" s="3" t="s">
        <v>154</v>
      </c>
      <c r="D25" s="3" t="s">
        <v>81</v>
      </c>
      <c r="E25" s="44">
        <v>0.2107</v>
      </c>
    </row>
    <row r="26" spans="1:5" x14ac:dyDescent="0.25">
      <c r="A26" s="3" t="s">
        <v>121</v>
      </c>
      <c r="B26" s="3" t="s">
        <v>119</v>
      </c>
      <c r="C26" s="3" t="s">
        <v>131</v>
      </c>
      <c r="D26" s="3" t="s">
        <v>81</v>
      </c>
      <c r="E26" s="44">
        <v>0.20799999999999999</v>
      </c>
    </row>
    <row r="27" spans="1:5" x14ac:dyDescent="0.25">
      <c r="A27" s="3" t="s">
        <v>128</v>
      </c>
      <c r="B27" s="3" t="s">
        <v>119</v>
      </c>
      <c r="C27" s="3" t="s">
        <v>129</v>
      </c>
      <c r="D27" s="3" t="s">
        <v>81</v>
      </c>
      <c r="E27" s="44">
        <v>0.20799999999999999</v>
      </c>
    </row>
    <row r="28" spans="1:5" x14ac:dyDescent="0.25">
      <c r="A28" s="3" t="s">
        <v>125</v>
      </c>
      <c r="B28" s="3" t="s">
        <v>126</v>
      </c>
      <c r="C28" s="3" t="s">
        <v>127</v>
      </c>
      <c r="D28" s="3" t="s">
        <v>81</v>
      </c>
      <c r="E28" s="44">
        <v>0.20499999999999999</v>
      </c>
    </row>
    <row r="29" spans="1:5" x14ac:dyDescent="0.25">
      <c r="A29" s="3" t="s">
        <v>176</v>
      </c>
      <c r="B29" s="3" t="s">
        <v>177</v>
      </c>
      <c r="C29" s="3" t="s">
        <v>86</v>
      </c>
      <c r="D29" s="3" t="s">
        <v>87</v>
      </c>
      <c r="E29" s="44">
        <v>0.20499999999999999</v>
      </c>
    </row>
    <row r="30" spans="1:5" x14ac:dyDescent="0.25">
      <c r="A30" s="3" t="s">
        <v>178</v>
      </c>
      <c r="B30" s="3" t="s">
        <v>179</v>
      </c>
      <c r="C30" s="3" t="s">
        <v>78</v>
      </c>
      <c r="D30" s="3" t="s">
        <v>81</v>
      </c>
      <c r="E30" s="44">
        <v>0.20200000000000001</v>
      </c>
    </row>
    <row r="31" spans="1:5" x14ac:dyDescent="0.25">
      <c r="A31" s="3" t="s">
        <v>192</v>
      </c>
      <c r="B31" s="3" t="s">
        <v>190</v>
      </c>
      <c r="C31" s="3" t="s">
        <v>193</v>
      </c>
      <c r="D31" s="3" t="s">
        <v>81</v>
      </c>
      <c r="E31" s="44">
        <v>0.2</v>
      </c>
    </row>
    <row r="32" spans="1:5" x14ac:dyDescent="0.25">
      <c r="A32" s="3" t="s">
        <v>117</v>
      </c>
      <c r="B32" s="3" t="s">
        <v>119</v>
      </c>
      <c r="C32" s="3" t="s">
        <v>120</v>
      </c>
      <c r="D32" s="3" t="s">
        <v>81</v>
      </c>
      <c r="E32" s="44">
        <v>0.19600000000000001</v>
      </c>
    </row>
    <row r="33" spans="1:5" x14ac:dyDescent="0.25">
      <c r="A33" s="3" t="s">
        <v>199</v>
      </c>
      <c r="B33" s="3" t="s">
        <v>77</v>
      </c>
      <c r="C33" s="3" t="s">
        <v>201</v>
      </c>
      <c r="D33" s="3" t="s">
        <v>167</v>
      </c>
      <c r="E33" s="44">
        <v>0.188</v>
      </c>
    </row>
    <row r="34" spans="1:5" x14ac:dyDescent="0.25">
      <c r="A34" s="3" t="s">
        <v>76</v>
      </c>
      <c r="B34" s="3" t="s">
        <v>77</v>
      </c>
      <c r="C34" s="3" t="s">
        <v>80</v>
      </c>
      <c r="D34" s="3" t="s">
        <v>81</v>
      </c>
      <c r="E34" s="44">
        <v>0.188</v>
      </c>
    </row>
    <row r="35" spans="1:5" x14ac:dyDescent="0.25">
      <c r="A35" s="3" t="s">
        <v>160</v>
      </c>
      <c r="B35" s="3" t="s">
        <v>159</v>
      </c>
      <c r="C35" s="3" t="s">
        <v>140</v>
      </c>
      <c r="D35" s="3" t="s">
        <v>141</v>
      </c>
      <c r="E35" s="44">
        <v>0.188</v>
      </c>
    </row>
    <row r="36" spans="1:5" x14ac:dyDescent="0.25">
      <c r="A36" s="3" t="s">
        <v>143</v>
      </c>
      <c r="B36" s="3" t="s">
        <v>144</v>
      </c>
      <c r="C36" s="3" t="s">
        <v>145</v>
      </c>
      <c r="D36" s="3" t="s">
        <v>81</v>
      </c>
      <c r="E36" s="44">
        <v>0.17799999999999999</v>
      </c>
    </row>
    <row r="37" spans="1:5" x14ac:dyDescent="0.25">
      <c r="A37" s="3" t="s">
        <v>146</v>
      </c>
      <c r="B37" s="3" t="s">
        <v>147</v>
      </c>
      <c r="C37" s="3" t="s">
        <v>148</v>
      </c>
      <c r="D37" s="3" t="s">
        <v>81</v>
      </c>
      <c r="E37" s="44">
        <v>0.17710000000000001</v>
      </c>
    </row>
    <row r="38" spans="1:5" x14ac:dyDescent="0.25">
      <c r="A38" s="3" t="s">
        <v>207</v>
      </c>
      <c r="B38" s="3" t="s">
        <v>90</v>
      </c>
      <c r="C38" s="3" t="s">
        <v>208</v>
      </c>
      <c r="D38" s="3" t="s">
        <v>167</v>
      </c>
      <c r="E38" s="44">
        <v>0.17630000000000001</v>
      </c>
    </row>
    <row r="39" spans="1:5" x14ac:dyDescent="0.25">
      <c r="A39" s="3" t="s">
        <v>196</v>
      </c>
      <c r="B39" s="3" t="s">
        <v>190</v>
      </c>
      <c r="C39" s="3" t="s">
        <v>197</v>
      </c>
      <c r="D39" s="3" t="s">
        <v>95</v>
      </c>
      <c r="E39" s="44">
        <v>0.17599999999999999</v>
      </c>
    </row>
    <row r="40" spans="1:5" x14ac:dyDescent="0.25">
      <c r="A40" s="3" t="s">
        <v>187</v>
      </c>
      <c r="B40" s="3" t="s">
        <v>188</v>
      </c>
      <c r="C40" s="3" t="s">
        <v>86</v>
      </c>
      <c r="D40" s="3" t="s">
        <v>87</v>
      </c>
      <c r="E40" s="44">
        <v>0.17399999999999999</v>
      </c>
    </row>
    <row r="41" spans="1:5" x14ac:dyDescent="0.25">
      <c r="A41" s="3" t="s">
        <v>101</v>
      </c>
      <c r="B41" s="3" t="s">
        <v>174</v>
      </c>
      <c r="C41" s="3" t="s">
        <v>173</v>
      </c>
      <c r="D41" s="3" t="s">
        <v>167</v>
      </c>
      <c r="E41" s="44">
        <v>0.16839999999999999</v>
      </c>
    </row>
    <row r="42" spans="1:5" x14ac:dyDescent="0.25">
      <c r="A42" s="3" t="s">
        <v>161</v>
      </c>
      <c r="B42" s="3" t="s">
        <v>162</v>
      </c>
      <c r="C42" s="3" t="s">
        <v>163</v>
      </c>
      <c r="D42" s="3" t="s">
        <v>81</v>
      </c>
      <c r="E42" s="44">
        <v>0.1676</v>
      </c>
    </row>
    <row r="43" spans="1:5" x14ac:dyDescent="0.25">
      <c r="A43" s="3" t="s">
        <v>189</v>
      </c>
      <c r="B43" s="3" t="s">
        <v>190</v>
      </c>
      <c r="C43" s="3" t="s">
        <v>191</v>
      </c>
      <c r="D43" s="3" t="s">
        <v>167</v>
      </c>
      <c r="E43" s="44">
        <v>0.16400000000000001</v>
      </c>
    </row>
    <row r="44" spans="1:5" x14ac:dyDescent="0.25">
      <c r="A44" s="3" t="s">
        <v>92</v>
      </c>
      <c r="B44" s="3" t="s">
        <v>93</v>
      </c>
      <c r="C44" s="3" t="s">
        <v>94</v>
      </c>
      <c r="D44" s="3" t="s">
        <v>95</v>
      </c>
      <c r="E44" s="44">
        <v>0.14599999999999999</v>
      </c>
    </row>
    <row r="45" spans="1:5" x14ac:dyDescent="0.25">
      <c r="A45" s="3" t="s">
        <v>92</v>
      </c>
      <c r="B45" s="3" t="s">
        <v>94</v>
      </c>
      <c r="C45" s="3" t="s">
        <v>142</v>
      </c>
      <c r="D45" s="3" t="s">
        <v>95</v>
      </c>
      <c r="E45" s="44">
        <v>0.14599999999999999</v>
      </c>
    </row>
    <row r="46" spans="1:5" x14ac:dyDescent="0.25">
      <c r="A46" s="3" t="s">
        <v>205</v>
      </c>
      <c r="B46" s="3" t="s">
        <v>90</v>
      </c>
      <c r="C46" s="3" t="s">
        <v>206</v>
      </c>
      <c r="D46" s="3" t="s">
        <v>167</v>
      </c>
      <c r="E46" s="44">
        <v>0.1444</v>
      </c>
    </row>
    <row r="47" spans="1:5" x14ac:dyDescent="0.25">
      <c r="A47" s="3" t="s">
        <v>169</v>
      </c>
      <c r="B47" s="3" t="s">
        <v>170</v>
      </c>
      <c r="C47" s="3" t="s">
        <v>153</v>
      </c>
      <c r="D47" s="3" t="s">
        <v>167</v>
      </c>
      <c r="E47" s="44">
        <v>0.14399999999999999</v>
      </c>
    </row>
    <row r="48" spans="1:5" x14ac:dyDescent="0.25">
      <c r="A48" s="3" t="s">
        <v>200</v>
      </c>
      <c r="B48" s="3" t="s">
        <v>77</v>
      </c>
      <c r="C48" s="3" t="s">
        <v>82</v>
      </c>
      <c r="D48" s="3" t="s">
        <v>83</v>
      </c>
      <c r="E48" s="44">
        <v>0.14000000000000001</v>
      </c>
    </row>
    <row r="49" spans="1:5" x14ac:dyDescent="0.25">
      <c r="A49" s="3" t="s">
        <v>76</v>
      </c>
      <c r="B49" s="3" t="s">
        <v>77</v>
      </c>
      <c r="C49" s="3" t="s">
        <v>82</v>
      </c>
      <c r="D49" s="3" t="s">
        <v>83</v>
      </c>
      <c r="E49" s="44">
        <v>0.14000000000000001</v>
      </c>
    </row>
    <row r="50" spans="1:5" x14ac:dyDescent="0.25">
      <c r="A50" s="3" t="s">
        <v>158</v>
      </c>
      <c r="B50" s="3" t="s">
        <v>159</v>
      </c>
      <c r="C50" s="3" t="s">
        <v>78</v>
      </c>
      <c r="D50" s="3" t="s">
        <v>81</v>
      </c>
      <c r="E50" s="44">
        <v>0.14000000000000001</v>
      </c>
    </row>
    <row r="51" spans="1:5" x14ac:dyDescent="0.25">
      <c r="A51" s="3" t="s">
        <v>194</v>
      </c>
      <c r="B51" s="3" t="s">
        <v>190</v>
      </c>
      <c r="C51" s="3" t="s">
        <v>195</v>
      </c>
      <c r="D51" s="3" t="s">
        <v>167</v>
      </c>
      <c r="E51" s="44">
        <v>0.13400000000000001</v>
      </c>
    </row>
    <row r="52" spans="1:5" x14ac:dyDescent="0.25">
      <c r="A52" s="3" t="s">
        <v>183</v>
      </c>
      <c r="B52" s="3" t="s">
        <v>184</v>
      </c>
      <c r="C52" s="3" t="s">
        <v>185</v>
      </c>
      <c r="D52" s="3" t="s">
        <v>167</v>
      </c>
      <c r="E52" s="44">
        <v>0.13200000000000001</v>
      </c>
    </row>
    <row r="53" spans="1:5" x14ac:dyDescent="0.25">
      <c r="A53" s="3" t="s">
        <v>150</v>
      </c>
      <c r="B53" s="3" t="s">
        <v>151</v>
      </c>
      <c r="C53" s="3" t="s">
        <v>78</v>
      </c>
      <c r="D53" s="3" t="s">
        <v>81</v>
      </c>
      <c r="E53" s="44">
        <v>0.1208</v>
      </c>
    </row>
    <row r="54" spans="1:5" x14ac:dyDescent="0.25">
      <c r="A54" s="3" t="s">
        <v>164</v>
      </c>
      <c r="B54" s="3" t="s">
        <v>165</v>
      </c>
      <c r="C54" s="3" t="s">
        <v>166</v>
      </c>
      <c r="D54" s="3" t="s">
        <v>167</v>
      </c>
      <c r="E54" s="44">
        <v>0.11</v>
      </c>
    </row>
    <row r="55" spans="1:5" x14ac:dyDescent="0.25">
      <c r="A55" s="3" t="s">
        <v>171</v>
      </c>
      <c r="B55" s="3" t="s">
        <v>172</v>
      </c>
      <c r="C55" s="3" t="s">
        <v>173</v>
      </c>
      <c r="D55" s="3" t="s">
        <v>167</v>
      </c>
      <c r="E55" s="44">
        <v>0.11</v>
      </c>
    </row>
    <row r="56" spans="1:5" x14ac:dyDescent="0.25">
      <c r="A56" s="3" t="s">
        <v>104</v>
      </c>
      <c r="B56" s="3" t="s">
        <v>105</v>
      </c>
      <c r="C56" s="3" t="s">
        <v>106</v>
      </c>
      <c r="D56" s="3" t="s">
        <v>107</v>
      </c>
      <c r="E56" s="44">
        <v>8.5999999999999993E-2</v>
      </c>
    </row>
  </sheetData>
  <pageMargins left="0" right="0" top="0.98425196850393704" bottom="0" header="0" footer="0"/>
  <pageSetup paperSize="9" scale="91" fitToHeight="0" orientation="landscape" r:id="rId1"/>
  <headerFooter>
    <oddHeader>&amp;C&amp;"-,Negrito"&amp;18FATOR DE TOLERÂNCIA POR GM</oddHeader>
    <oddFooter>&amp;R&amp;D           &amp;T</oddFooter>
  </headerFooter>
  <rowBreaks count="1" manualBreakCount="1">
    <brk id="28" max="16383" man="1"/>
  </rowBreak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E56"/>
  <sheetViews>
    <sheetView showGridLines="0" topLeftCell="A21" workbookViewId="0">
      <selection sqref="A1:E56"/>
    </sheetView>
  </sheetViews>
  <sheetFormatPr defaultRowHeight="15" x14ac:dyDescent="0.25"/>
  <cols>
    <col min="1" max="1" width="18.28515625" style="3" customWidth="1"/>
    <col min="2" max="2" width="33" style="3" bestFit="1" customWidth="1"/>
    <col min="3" max="3" width="49.140625" style="3" customWidth="1"/>
    <col min="4" max="4" width="24" style="3" bestFit="1" customWidth="1"/>
    <col min="5" max="5" width="18.7109375" bestFit="1" customWidth="1"/>
  </cols>
  <sheetData>
    <row r="1" spans="1:5" x14ac:dyDescent="0.25">
      <c r="A1" s="41" t="s">
        <v>0</v>
      </c>
      <c r="B1" s="41" t="s">
        <v>2</v>
      </c>
      <c r="C1" s="41" t="s">
        <v>74</v>
      </c>
      <c r="D1" s="41" t="s">
        <v>75</v>
      </c>
      <c r="E1" s="42" t="s">
        <v>209</v>
      </c>
    </row>
    <row r="2" spans="1:5" x14ac:dyDescent="0.25">
      <c r="A2" s="42" t="s">
        <v>135</v>
      </c>
      <c r="B2" s="42" t="s">
        <v>136</v>
      </c>
      <c r="C2" s="42" t="s">
        <v>137</v>
      </c>
      <c r="D2" s="42" t="s">
        <v>81</v>
      </c>
      <c r="E2" s="43">
        <v>0.23200000000000001</v>
      </c>
    </row>
    <row r="3" spans="1:5" x14ac:dyDescent="0.25">
      <c r="A3" s="42" t="s">
        <v>99</v>
      </c>
      <c r="B3" s="42" t="s">
        <v>100</v>
      </c>
      <c r="C3" s="42" t="s">
        <v>86</v>
      </c>
      <c r="D3" s="42" t="s">
        <v>87</v>
      </c>
      <c r="E3" s="43">
        <v>0.23200000000000001</v>
      </c>
    </row>
    <row r="4" spans="1:5" x14ac:dyDescent="0.25">
      <c r="A4" s="42" t="s">
        <v>175</v>
      </c>
      <c r="B4" s="42" t="s">
        <v>100</v>
      </c>
      <c r="C4" s="42" t="s">
        <v>86</v>
      </c>
      <c r="D4" s="42" t="s">
        <v>87</v>
      </c>
      <c r="E4" s="43">
        <v>0.214</v>
      </c>
    </row>
    <row r="5" spans="1:5" x14ac:dyDescent="0.25">
      <c r="A5" s="42" t="s">
        <v>97</v>
      </c>
      <c r="B5" s="42" t="s">
        <v>98</v>
      </c>
      <c r="C5" s="42" t="s">
        <v>86</v>
      </c>
      <c r="D5" s="42" t="s">
        <v>87</v>
      </c>
      <c r="E5" s="43">
        <v>0.23200000000000001</v>
      </c>
    </row>
    <row r="6" spans="1:5" x14ac:dyDescent="0.25">
      <c r="A6" s="42" t="s">
        <v>143</v>
      </c>
      <c r="B6" s="42" t="s">
        <v>144</v>
      </c>
      <c r="C6" s="42" t="s">
        <v>145</v>
      </c>
      <c r="D6" s="42" t="s">
        <v>81</v>
      </c>
      <c r="E6" s="43">
        <v>0.17799999999999999</v>
      </c>
    </row>
    <row r="7" spans="1:5" x14ac:dyDescent="0.25">
      <c r="A7" s="42" t="s">
        <v>84</v>
      </c>
      <c r="B7" s="42" t="s">
        <v>85</v>
      </c>
      <c r="C7" s="42" t="s">
        <v>86</v>
      </c>
      <c r="D7" s="42" t="s">
        <v>87</v>
      </c>
      <c r="E7" s="43">
        <v>0.23200000000000001</v>
      </c>
    </row>
    <row r="8" spans="1:5" x14ac:dyDescent="0.25">
      <c r="A8" s="42" t="s">
        <v>101</v>
      </c>
      <c r="B8" s="42" t="s">
        <v>174</v>
      </c>
      <c r="C8" s="42" t="s">
        <v>173</v>
      </c>
      <c r="D8" s="42" t="s">
        <v>167</v>
      </c>
      <c r="E8" s="43">
        <v>0.16839999999999999</v>
      </c>
    </row>
    <row r="9" spans="1:5" x14ac:dyDescent="0.25">
      <c r="A9" s="42" t="s">
        <v>101</v>
      </c>
      <c r="B9" s="42" t="s">
        <v>102</v>
      </c>
      <c r="C9" s="42" t="s">
        <v>78</v>
      </c>
      <c r="D9" s="42" t="s">
        <v>81</v>
      </c>
      <c r="E9" s="43">
        <v>0.21199999999999999</v>
      </c>
    </row>
    <row r="10" spans="1:5" x14ac:dyDescent="0.25">
      <c r="A10" s="42" t="s">
        <v>164</v>
      </c>
      <c r="B10" s="42" t="s">
        <v>165</v>
      </c>
      <c r="C10" s="42" t="s">
        <v>166</v>
      </c>
      <c r="D10" s="42" t="s">
        <v>167</v>
      </c>
      <c r="E10" s="43">
        <v>0.11</v>
      </c>
    </row>
    <row r="11" spans="1:5" x14ac:dyDescent="0.25">
      <c r="A11" s="42" t="s">
        <v>125</v>
      </c>
      <c r="B11" s="42" t="s">
        <v>126</v>
      </c>
      <c r="C11" s="42" t="s">
        <v>127</v>
      </c>
      <c r="D11" s="42" t="s">
        <v>81</v>
      </c>
      <c r="E11" s="43">
        <v>0.20499999999999999</v>
      </c>
    </row>
    <row r="12" spans="1:5" x14ac:dyDescent="0.25">
      <c r="A12" s="42" t="s">
        <v>161</v>
      </c>
      <c r="B12" s="42" t="s">
        <v>162</v>
      </c>
      <c r="C12" s="42" t="s">
        <v>163</v>
      </c>
      <c r="D12" s="42" t="s">
        <v>81</v>
      </c>
      <c r="E12" s="43">
        <v>0.1676</v>
      </c>
    </row>
    <row r="13" spans="1:5" x14ac:dyDescent="0.25">
      <c r="A13" s="42" t="s">
        <v>171</v>
      </c>
      <c r="B13" s="42" t="s">
        <v>172</v>
      </c>
      <c r="C13" s="42" t="s">
        <v>173</v>
      </c>
      <c r="D13" s="42" t="s">
        <v>167</v>
      </c>
      <c r="E13" s="43">
        <v>0.11</v>
      </c>
    </row>
    <row r="14" spans="1:5" x14ac:dyDescent="0.25">
      <c r="A14" s="42" t="s">
        <v>138</v>
      </c>
      <c r="B14" s="42" t="s">
        <v>140</v>
      </c>
      <c r="C14" s="42" t="s">
        <v>139</v>
      </c>
      <c r="D14" s="42" t="s">
        <v>141</v>
      </c>
      <c r="E14" s="43">
        <v>0.23200000000000001</v>
      </c>
    </row>
    <row r="15" spans="1:5" x14ac:dyDescent="0.25">
      <c r="A15" s="42" t="s">
        <v>121</v>
      </c>
      <c r="B15" s="42" t="s">
        <v>119</v>
      </c>
      <c r="C15" s="42" t="s">
        <v>131</v>
      </c>
      <c r="D15" s="42" t="s">
        <v>81</v>
      </c>
      <c r="E15" s="43">
        <v>0.20799999999999999</v>
      </c>
    </row>
    <row r="16" spans="1:5" x14ac:dyDescent="0.25">
      <c r="A16" s="42" t="s">
        <v>128</v>
      </c>
      <c r="B16" s="42" t="s">
        <v>119</v>
      </c>
      <c r="C16" s="42" t="s">
        <v>129</v>
      </c>
      <c r="D16" s="42" t="s">
        <v>81</v>
      </c>
      <c r="E16" s="43">
        <v>0.20799999999999999</v>
      </c>
    </row>
    <row r="17" spans="1:5" x14ac:dyDescent="0.25">
      <c r="A17" s="42" t="s">
        <v>132</v>
      </c>
      <c r="B17" s="42" t="s">
        <v>133</v>
      </c>
      <c r="C17" s="42" t="s">
        <v>134</v>
      </c>
      <c r="D17" s="42" t="s">
        <v>81</v>
      </c>
      <c r="E17" s="43">
        <v>0.21609999999999999</v>
      </c>
    </row>
    <row r="18" spans="1:5" x14ac:dyDescent="0.25">
      <c r="A18" s="42" t="s">
        <v>117</v>
      </c>
      <c r="B18" s="42" t="s">
        <v>119</v>
      </c>
      <c r="C18" s="42" t="s">
        <v>120</v>
      </c>
      <c r="D18" s="42" t="s">
        <v>81</v>
      </c>
      <c r="E18" s="43">
        <v>0.19600000000000001</v>
      </c>
    </row>
    <row r="19" spans="1:5" x14ac:dyDescent="0.25">
      <c r="A19" s="42" t="s">
        <v>169</v>
      </c>
      <c r="B19" s="42" t="s">
        <v>170</v>
      </c>
      <c r="C19" s="42" t="s">
        <v>153</v>
      </c>
      <c r="D19" s="42" t="s">
        <v>167</v>
      </c>
      <c r="E19" s="43">
        <v>0.14399999999999999</v>
      </c>
    </row>
    <row r="20" spans="1:5" x14ac:dyDescent="0.25">
      <c r="A20" s="42" t="s">
        <v>104</v>
      </c>
      <c r="B20" s="42" t="s">
        <v>105</v>
      </c>
      <c r="C20" s="42" t="s">
        <v>106</v>
      </c>
      <c r="D20" s="42" t="s">
        <v>107</v>
      </c>
      <c r="E20" s="43">
        <v>8.5999999999999993E-2</v>
      </c>
    </row>
    <row r="21" spans="1:5" x14ac:dyDescent="0.25">
      <c r="A21" s="42" t="s">
        <v>92</v>
      </c>
      <c r="B21" s="42" t="s">
        <v>93</v>
      </c>
      <c r="C21" s="42" t="s">
        <v>94</v>
      </c>
      <c r="D21" s="42" t="s">
        <v>95</v>
      </c>
      <c r="E21" s="43">
        <v>0.14599999999999999</v>
      </c>
    </row>
    <row r="22" spans="1:5" x14ac:dyDescent="0.25">
      <c r="A22" s="42" t="s">
        <v>92</v>
      </c>
      <c r="B22" s="42" t="s">
        <v>94</v>
      </c>
      <c r="C22" s="42" t="s">
        <v>142</v>
      </c>
      <c r="D22" s="42" t="s">
        <v>95</v>
      </c>
      <c r="E22" s="43">
        <v>0.14599999999999999</v>
      </c>
    </row>
    <row r="23" spans="1:5" x14ac:dyDescent="0.25">
      <c r="A23" s="42" t="s">
        <v>205</v>
      </c>
      <c r="B23" s="42" t="s">
        <v>90</v>
      </c>
      <c r="C23" s="42" t="s">
        <v>206</v>
      </c>
      <c r="D23" s="42" t="s">
        <v>167</v>
      </c>
      <c r="E23" s="43">
        <v>0.1444</v>
      </c>
    </row>
    <row r="24" spans="1:5" x14ac:dyDescent="0.25">
      <c r="A24" s="42" t="s">
        <v>207</v>
      </c>
      <c r="B24" s="42" t="s">
        <v>90</v>
      </c>
      <c r="C24" s="42" t="s">
        <v>208</v>
      </c>
      <c r="D24" s="42" t="s">
        <v>167</v>
      </c>
      <c r="E24" s="43">
        <v>0.17630000000000001</v>
      </c>
    </row>
    <row r="25" spans="1:5" x14ac:dyDescent="0.25">
      <c r="A25" s="42" t="s">
        <v>89</v>
      </c>
      <c r="B25" s="42" t="s">
        <v>90</v>
      </c>
      <c r="C25" s="42" t="s">
        <v>91</v>
      </c>
      <c r="D25" s="42" t="s">
        <v>87</v>
      </c>
      <c r="E25" s="43">
        <v>0.2339</v>
      </c>
    </row>
    <row r="26" spans="1:5" x14ac:dyDescent="0.25">
      <c r="A26" s="42" t="s">
        <v>89</v>
      </c>
      <c r="B26" s="42" t="s">
        <v>90</v>
      </c>
      <c r="C26" s="42" t="s">
        <v>86</v>
      </c>
      <c r="D26" s="42" t="s">
        <v>87</v>
      </c>
      <c r="E26" s="43">
        <v>0.22389999999999999</v>
      </c>
    </row>
    <row r="27" spans="1:5" x14ac:dyDescent="0.25">
      <c r="A27" s="42" t="s">
        <v>202</v>
      </c>
      <c r="B27" s="42" t="s">
        <v>203</v>
      </c>
      <c r="C27" s="42" t="s">
        <v>204</v>
      </c>
      <c r="D27" s="42" t="s">
        <v>167</v>
      </c>
      <c r="E27" s="43">
        <v>0.26</v>
      </c>
    </row>
    <row r="28" spans="1:5" x14ac:dyDescent="0.25">
      <c r="A28" s="42" t="s">
        <v>200</v>
      </c>
      <c r="B28" s="42" t="s">
        <v>77</v>
      </c>
      <c r="C28" s="42" t="s">
        <v>82</v>
      </c>
      <c r="D28" s="42" t="s">
        <v>83</v>
      </c>
      <c r="E28" s="43">
        <v>0.14000000000000001</v>
      </c>
    </row>
    <row r="29" spans="1:5" x14ac:dyDescent="0.25">
      <c r="A29" s="42" t="s">
        <v>199</v>
      </c>
      <c r="B29" s="42" t="s">
        <v>77</v>
      </c>
      <c r="C29" s="42" t="s">
        <v>201</v>
      </c>
      <c r="D29" s="42" t="s">
        <v>167</v>
      </c>
      <c r="E29" s="43">
        <v>0.188</v>
      </c>
    </row>
    <row r="30" spans="1:5" x14ac:dyDescent="0.25">
      <c r="A30" s="42" t="s">
        <v>76</v>
      </c>
      <c r="B30" s="42" t="s">
        <v>77</v>
      </c>
      <c r="C30" s="42" t="s">
        <v>80</v>
      </c>
      <c r="D30" s="42" t="s">
        <v>81</v>
      </c>
      <c r="E30" s="43">
        <v>0.188</v>
      </c>
    </row>
    <row r="31" spans="1:5" x14ac:dyDescent="0.25">
      <c r="A31" s="42" t="s">
        <v>76</v>
      </c>
      <c r="B31" s="42" t="s">
        <v>77</v>
      </c>
      <c r="C31" s="42" t="s">
        <v>82</v>
      </c>
      <c r="D31" s="42" t="s">
        <v>83</v>
      </c>
      <c r="E31" s="43">
        <v>0.14000000000000001</v>
      </c>
    </row>
    <row r="32" spans="1:5" x14ac:dyDescent="0.25">
      <c r="A32" s="42" t="s">
        <v>76</v>
      </c>
      <c r="B32" s="42" t="s">
        <v>77</v>
      </c>
      <c r="C32" s="42" t="s">
        <v>78</v>
      </c>
      <c r="D32" s="42" t="s">
        <v>81</v>
      </c>
      <c r="E32" s="43">
        <v>0.21840000000000001</v>
      </c>
    </row>
    <row r="33" spans="1:5" x14ac:dyDescent="0.25">
      <c r="A33" s="42" t="s">
        <v>183</v>
      </c>
      <c r="B33" s="42" t="s">
        <v>184</v>
      </c>
      <c r="C33" s="42" t="s">
        <v>185</v>
      </c>
      <c r="D33" s="42" t="s">
        <v>167</v>
      </c>
      <c r="E33" s="43">
        <v>0.13200000000000001</v>
      </c>
    </row>
    <row r="34" spans="1:5" x14ac:dyDescent="0.25">
      <c r="A34" s="42" t="s">
        <v>187</v>
      </c>
      <c r="B34" s="42" t="s">
        <v>188</v>
      </c>
      <c r="C34" s="42" t="s">
        <v>86</v>
      </c>
      <c r="D34" s="42" t="s">
        <v>87</v>
      </c>
      <c r="E34" s="43">
        <v>0.17399999999999999</v>
      </c>
    </row>
    <row r="35" spans="1:5" x14ac:dyDescent="0.25">
      <c r="A35" s="42" t="s">
        <v>196</v>
      </c>
      <c r="B35" s="42" t="s">
        <v>190</v>
      </c>
      <c r="C35" s="42" t="s">
        <v>197</v>
      </c>
      <c r="D35" s="42" t="s">
        <v>95</v>
      </c>
      <c r="E35" s="43">
        <v>0.17599999999999999</v>
      </c>
    </row>
    <row r="36" spans="1:5" x14ac:dyDescent="0.25">
      <c r="A36" s="42" t="s">
        <v>198</v>
      </c>
      <c r="B36" s="42" t="s">
        <v>190</v>
      </c>
      <c r="C36" s="42" t="s">
        <v>86</v>
      </c>
      <c r="D36" s="42" t="s">
        <v>87</v>
      </c>
      <c r="E36" s="43">
        <v>0.22600000000000001</v>
      </c>
    </row>
    <row r="37" spans="1:5" x14ac:dyDescent="0.25">
      <c r="A37" s="42" t="s">
        <v>192</v>
      </c>
      <c r="B37" s="42" t="s">
        <v>190</v>
      </c>
      <c r="C37" s="42" t="s">
        <v>193</v>
      </c>
      <c r="D37" s="42" t="s">
        <v>81</v>
      </c>
      <c r="E37" s="43">
        <v>0.2</v>
      </c>
    </row>
    <row r="38" spans="1:5" x14ac:dyDescent="0.25">
      <c r="A38" s="42" t="s">
        <v>189</v>
      </c>
      <c r="B38" s="42" t="s">
        <v>190</v>
      </c>
      <c r="C38" s="42" t="s">
        <v>191</v>
      </c>
      <c r="D38" s="42" t="s">
        <v>167</v>
      </c>
      <c r="E38" s="43">
        <v>0.16400000000000001</v>
      </c>
    </row>
    <row r="39" spans="1:5" x14ac:dyDescent="0.25">
      <c r="A39" s="42" t="s">
        <v>194</v>
      </c>
      <c r="B39" s="42" t="s">
        <v>190</v>
      </c>
      <c r="C39" s="42" t="s">
        <v>195</v>
      </c>
      <c r="D39" s="42" t="s">
        <v>167</v>
      </c>
      <c r="E39" s="43">
        <v>0.13400000000000001</v>
      </c>
    </row>
    <row r="40" spans="1:5" x14ac:dyDescent="0.25">
      <c r="A40" s="42" t="s">
        <v>178</v>
      </c>
      <c r="B40" s="42" t="s">
        <v>179</v>
      </c>
      <c r="C40" s="42" t="s">
        <v>78</v>
      </c>
      <c r="D40" s="42" t="s">
        <v>81</v>
      </c>
      <c r="E40" s="43">
        <v>0.20200000000000001</v>
      </c>
    </row>
    <row r="41" spans="1:5" x14ac:dyDescent="0.25">
      <c r="A41" s="42" t="s">
        <v>180</v>
      </c>
      <c r="B41" s="42" t="s">
        <v>179</v>
      </c>
      <c r="C41" s="42" t="s">
        <v>78</v>
      </c>
      <c r="D41" s="42" t="s">
        <v>87</v>
      </c>
      <c r="E41" s="43">
        <v>0.22</v>
      </c>
    </row>
    <row r="42" spans="1:5" x14ac:dyDescent="0.25">
      <c r="A42" s="42" t="s">
        <v>115</v>
      </c>
      <c r="B42" s="42" t="s">
        <v>137</v>
      </c>
      <c r="C42" s="42" t="s">
        <v>182</v>
      </c>
      <c r="D42" s="42" t="s">
        <v>87</v>
      </c>
      <c r="E42" s="43">
        <v>0.23200000000000001</v>
      </c>
    </row>
    <row r="43" spans="1:5" x14ac:dyDescent="0.25">
      <c r="A43" s="42" t="s">
        <v>115</v>
      </c>
      <c r="B43" s="42" t="s">
        <v>112</v>
      </c>
      <c r="C43" s="42" t="s">
        <v>116</v>
      </c>
      <c r="D43" s="42" t="s">
        <v>81</v>
      </c>
      <c r="E43" s="43">
        <v>0.23200000000000001</v>
      </c>
    </row>
    <row r="44" spans="1:5" x14ac:dyDescent="0.25">
      <c r="A44" s="42" t="s">
        <v>156</v>
      </c>
      <c r="B44" s="42" t="s">
        <v>140</v>
      </c>
      <c r="C44" s="42" t="s">
        <v>157</v>
      </c>
      <c r="D44" s="42" t="s">
        <v>141</v>
      </c>
      <c r="E44" s="43">
        <v>0.2208</v>
      </c>
    </row>
    <row r="45" spans="1:5" x14ac:dyDescent="0.25">
      <c r="A45" s="42" t="s">
        <v>108</v>
      </c>
      <c r="B45" s="42" t="s">
        <v>181</v>
      </c>
      <c r="C45" s="42" t="s">
        <v>86</v>
      </c>
      <c r="D45" s="42" t="s">
        <v>87</v>
      </c>
      <c r="E45" s="43">
        <v>0.24399999999999999</v>
      </c>
    </row>
    <row r="46" spans="1:5" x14ac:dyDescent="0.25">
      <c r="A46" s="42" t="s">
        <v>108</v>
      </c>
      <c r="B46" s="42" t="s">
        <v>109</v>
      </c>
      <c r="C46" s="42" t="s">
        <v>110</v>
      </c>
      <c r="D46" s="42" t="s">
        <v>87</v>
      </c>
      <c r="E46" s="43">
        <v>0.24399999999999999</v>
      </c>
    </row>
    <row r="47" spans="1:5" x14ac:dyDescent="0.25">
      <c r="A47" s="42" t="s">
        <v>114</v>
      </c>
      <c r="B47" s="42" t="s">
        <v>113</v>
      </c>
      <c r="C47" s="42" t="s">
        <v>86</v>
      </c>
      <c r="D47" s="42" t="s">
        <v>87</v>
      </c>
      <c r="E47" s="43">
        <v>0.214</v>
      </c>
    </row>
    <row r="48" spans="1:5" x14ac:dyDescent="0.25">
      <c r="A48" s="42" t="s">
        <v>114</v>
      </c>
      <c r="B48" s="42" t="s">
        <v>112</v>
      </c>
      <c r="C48" s="42" t="s">
        <v>113</v>
      </c>
      <c r="D48" s="42" t="s">
        <v>81</v>
      </c>
      <c r="E48" s="43">
        <v>0.214</v>
      </c>
    </row>
    <row r="49" spans="1:5" x14ac:dyDescent="0.25">
      <c r="A49" s="42" t="s">
        <v>152</v>
      </c>
      <c r="B49" s="42" t="s">
        <v>153</v>
      </c>
      <c r="C49" s="42" t="s">
        <v>154</v>
      </c>
      <c r="D49" s="42" t="s">
        <v>81</v>
      </c>
      <c r="E49" s="43">
        <v>0.2107</v>
      </c>
    </row>
    <row r="50" spans="1:5" x14ac:dyDescent="0.25">
      <c r="A50" s="42" t="s">
        <v>122</v>
      </c>
      <c r="B50" s="42" t="s">
        <v>123</v>
      </c>
      <c r="C50" s="42" t="s">
        <v>78</v>
      </c>
      <c r="D50" s="42" t="s">
        <v>81</v>
      </c>
      <c r="E50" s="43">
        <v>0.214</v>
      </c>
    </row>
    <row r="51" spans="1:5" x14ac:dyDescent="0.25">
      <c r="A51" s="42" t="s">
        <v>158</v>
      </c>
      <c r="B51" s="42" t="s">
        <v>159</v>
      </c>
      <c r="C51" s="42" t="s">
        <v>78</v>
      </c>
      <c r="D51" s="42" t="s">
        <v>81</v>
      </c>
      <c r="E51" s="43">
        <v>0.14000000000000001</v>
      </c>
    </row>
    <row r="52" spans="1:5" x14ac:dyDescent="0.25">
      <c r="A52" s="42" t="s">
        <v>158</v>
      </c>
      <c r="B52" s="42" t="s">
        <v>159</v>
      </c>
      <c r="C52" s="42" t="s">
        <v>86</v>
      </c>
      <c r="D52" s="42" t="s">
        <v>87</v>
      </c>
      <c r="E52" s="43">
        <v>0.218</v>
      </c>
    </row>
    <row r="53" spans="1:5" x14ac:dyDescent="0.25">
      <c r="A53" s="42" t="s">
        <v>160</v>
      </c>
      <c r="B53" s="42" t="s">
        <v>159</v>
      </c>
      <c r="C53" s="42" t="s">
        <v>140</v>
      </c>
      <c r="D53" s="42" t="s">
        <v>141</v>
      </c>
      <c r="E53" s="43">
        <v>0.188</v>
      </c>
    </row>
    <row r="54" spans="1:5" x14ac:dyDescent="0.25">
      <c r="A54" s="42" t="s">
        <v>176</v>
      </c>
      <c r="B54" s="42" t="s">
        <v>177</v>
      </c>
      <c r="C54" s="42" t="s">
        <v>86</v>
      </c>
      <c r="D54" s="42" t="s">
        <v>87</v>
      </c>
      <c r="E54" s="43">
        <v>0.20499999999999999</v>
      </c>
    </row>
    <row r="55" spans="1:5" x14ac:dyDescent="0.25">
      <c r="A55" s="42" t="s">
        <v>146</v>
      </c>
      <c r="B55" s="42" t="s">
        <v>147</v>
      </c>
      <c r="C55" s="42" t="s">
        <v>148</v>
      </c>
      <c r="D55" s="42" t="s">
        <v>81</v>
      </c>
      <c r="E55" s="43">
        <v>0.17710000000000001</v>
      </c>
    </row>
    <row r="56" spans="1:5" x14ac:dyDescent="0.25">
      <c r="A56" s="42" t="s">
        <v>150</v>
      </c>
      <c r="B56" s="42" t="s">
        <v>151</v>
      </c>
      <c r="C56" s="42" t="s">
        <v>78</v>
      </c>
      <c r="D56" s="42" t="s">
        <v>81</v>
      </c>
      <c r="E56" s="43">
        <v>0.1208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Z13"/>
  <sheetViews>
    <sheetView showGridLines="0" workbookViewId="0">
      <selection activeCell="M16" sqref="M16"/>
    </sheetView>
  </sheetViews>
  <sheetFormatPr defaultRowHeight="15" x14ac:dyDescent="0.25"/>
  <cols>
    <col min="1" max="1" width="9.85546875" style="3" customWidth="1"/>
    <col min="2" max="2" width="13.28515625" style="3" bestFit="1" customWidth="1"/>
    <col min="3" max="3" width="2.28515625" style="3" customWidth="1"/>
    <col min="4" max="5" width="9.140625" style="3"/>
    <col min="6" max="6" width="2" style="3" customWidth="1"/>
    <col min="7" max="7" width="12.7109375" style="3" customWidth="1"/>
    <col min="8" max="8" width="11.28515625" style="3" customWidth="1"/>
    <col min="9" max="9" width="2" style="3" customWidth="1"/>
    <col min="10" max="10" width="9.140625" style="3"/>
    <col min="11" max="11" width="13.28515625" style="3" bestFit="1" customWidth="1"/>
    <col min="12" max="12" width="2" style="3" customWidth="1"/>
    <col min="13" max="14" width="9.140625" style="3"/>
    <col min="15" max="15" width="2" style="3" customWidth="1"/>
    <col min="16" max="16" width="13.85546875" style="3" customWidth="1"/>
    <col min="17" max="17" width="9.7109375" style="3" bestFit="1" customWidth="1"/>
    <col min="18" max="18" width="2" style="3" customWidth="1"/>
    <col min="19" max="19" width="9.140625" style="3"/>
    <col min="20" max="20" width="10.5703125" style="3" bestFit="1" customWidth="1"/>
    <col min="21" max="21" width="2" style="3" customWidth="1"/>
    <col min="22" max="23" width="9.140625" style="3"/>
    <col min="24" max="24" width="2" style="3" customWidth="1"/>
    <col min="25" max="25" width="9.140625" style="3"/>
    <col min="26" max="26" width="18.7109375" style="3" bestFit="1" customWidth="1"/>
    <col min="27" max="27" width="2" style="3" customWidth="1"/>
    <col min="28" max="16384" width="9.140625" style="3"/>
  </cols>
  <sheetData>
    <row r="1" spans="1:26" x14ac:dyDescent="0.25">
      <c r="A1" s="52" t="s">
        <v>23</v>
      </c>
      <c r="B1" s="52"/>
      <c r="D1" s="52" t="s">
        <v>29</v>
      </c>
      <c r="E1" s="52"/>
      <c r="G1" s="52" t="s">
        <v>13</v>
      </c>
      <c r="H1" s="52"/>
      <c r="J1" s="52" t="s">
        <v>14</v>
      </c>
      <c r="K1" s="52"/>
      <c r="M1" s="52" t="s">
        <v>15</v>
      </c>
      <c r="N1" s="52"/>
      <c r="P1" s="52" t="s">
        <v>16</v>
      </c>
      <c r="Q1" s="52"/>
      <c r="S1" s="52" t="s">
        <v>17</v>
      </c>
      <c r="T1" s="52"/>
      <c r="V1" s="52" t="s">
        <v>18</v>
      </c>
      <c r="W1" s="52"/>
      <c r="Y1" s="52" t="s">
        <v>19</v>
      </c>
      <c r="Z1" s="52"/>
    </row>
    <row r="2" spans="1:26" x14ac:dyDescent="0.25">
      <c r="A2" s="19">
        <v>1</v>
      </c>
      <c r="B2" s="19" t="s">
        <v>24</v>
      </c>
      <c r="D2" s="19">
        <v>1</v>
      </c>
      <c r="E2" s="19" t="s">
        <v>25</v>
      </c>
      <c r="G2" s="19">
        <v>1</v>
      </c>
      <c r="H2" s="19" t="s">
        <v>30</v>
      </c>
      <c r="J2" s="19">
        <v>1</v>
      </c>
      <c r="K2" s="19" t="s">
        <v>42</v>
      </c>
      <c r="M2" s="19">
        <v>1</v>
      </c>
      <c r="N2" s="19" t="s">
        <v>50</v>
      </c>
      <c r="P2" s="19">
        <v>1</v>
      </c>
      <c r="Q2" s="19" t="s">
        <v>55</v>
      </c>
      <c r="S2" s="19">
        <v>1</v>
      </c>
      <c r="T2" s="19" t="s">
        <v>58</v>
      </c>
      <c r="V2" s="19">
        <v>1</v>
      </c>
      <c r="W2" s="19" t="s">
        <v>60</v>
      </c>
      <c r="Y2" s="19">
        <v>1</v>
      </c>
      <c r="Z2" s="19" t="s">
        <v>63</v>
      </c>
    </row>
    <row r="3" spans="1:26" x14ac:dyDescent="0.25">
      <c r="A3" s="19">
        <v>2</v>
      </c>
      <c r="B3" s="19" t="s">
        <v>25</v>
      </c>
      <c r="D3" s="19">
        <v>2</v>
      </c>
      <c r="E3" s="19" t="s">
        <v>26</v>
      </c>
      <c r="G3" s="19">
        <v>2</v>
      </c>
      <c r="H3" s="19" t="s">
        <v>31</v>
      </c>
      <c r="J3" s="19">
        <v>2</v>
      </c>
      <c r="K3" s="19" t="s">
        <v>43</v>
      </c>
      <c r="M3" s="19">
        <v>2</v>
      </c>
      <c r="N3" s="19" t="s">
        <v>51</v>
      </c>
      <c r="P3" s="19">
        <v>2</v>
      </c>
      <c r="Q3" s="19" t="s">
        <v>56</v>
      </c>
      <c r="S3" s="19">
        <v>2</v>
      </c>
      <c r="T3" s="19" t="s">
        <v>59</v>
      </c>
      <c r="V3" s="19">
        <v>2</v>
      </c>
      <c r="W3" s="19" t="s">
        <v>61</v>
      </c>
      <c r="Y3" s="19">
        <v>2</v>
      </c>
      <c r="Z3" s="19" t="s">
        <v>64</v>
      </c>
    </row>
    <row r="4" spans="1:26" x14ac:dyDescent="0.25">
      <c r="A4" s="19">
        <v>3</v>
      </c>
      <c r="B4" s="19" t="s">
        <v>26</v>
      </c>
      <c r="D4" s="19">
        <v>3</v>
      </c>
      <c r="E4" s="19" t="s">
        <v>27</v>
      </c>
      <c r="G4" s="19">
        <v>3</v>
      </c>
      <c r="H4" s="19" t="s">
        <v>32</v>
      </c>
      <c r="J4" s="19">
        <v>3</v>
      </c>
      <c r="K4" s="19" t="s">
        <v>44</v>
      </c>
      <c r="M4" s="19">
        <v>3</v>
      </c>
      <c r="N4" s="19" t="s">
        <v>52</v>
      </c>
      <c r="P4" s="19">
        <v>3</v>
      </c>
      <c r="Q4" s="19" t="s">
        <v>57</v>
      </c>
      <c r="V4" s="19">
        <v>3</v>
      </c>
      <c r="W4" s="19" t="s">
        <v>62</v>
      </c>
    </row>
    <row r="5" spans="1:26" x14ac:dyDescent="0.25">
      <c r="A5" s="19">
        <v>4</v>
      </c>
      <c r="B5" s="19" t="s">
        <v>27</v>
      </c>
      <c r="G5" s="19">
        <v>4</v>
      </c>
      <c r="H5" s="19" t="s">
        <v>33</v>
      </c>
      <c r="J5" s="19">
        <v>4</v>
      </c>
      <c r="K5" s="19" t="s">
        <v>45</v>
      </c>
      <c r="M5" s="19">
        <v>4</v>
      </c>
      <c r="N5" s="19" t="s">
        <v>53</v>
      </c>
    </row>
    <row r="6" spans="1:26" x14ac:dyDescent="0.25">
      <c r="A6" s="19">
        <v>5</v>
      </c>
      <c r="B6" s="19" t="s">
        <v>28</v>
      </c>
      <c r="G6" s="19">
        <v>5</v>
      </c>
      <c r="H6" s="19" t="s">
        <v>34</v>
      </c>
      <c r="J6" s="19">
        <v>5</v>
      </c>
      <c r="K6" s="19" t="s">
        <v>46</v>
      </c>
      <c r="M6" s="19">
        <v>5</v>
      </c>
      <c r="N6" s="19" t="s">
        <v>54</v>
      </c>
    </row>
    <row r="7" spans="1:26" x14ac:dyDescent="0.25">
      <c r="G7" s="19">
        <v>6</v>
      </c>
      <c r="H7" s="19" t="s">
        <v>35</v>
      </c>
      <c r="J7" s="19">
        <v>6</v>
      </c>
      <c r="K7" s="19" t="s">
        <v>47</v>
      </c>
    </row>
    <row r="8" spans="1:26" x14ac:dyDescent="0.25">
      <c r="G8" s="19">
        <v>7</v>
      </c>
      <c r="H8" s="19" t="s">
        <v>36</v>
      </c>
      <c r="J8" s="19">
        <v>7</v>
      </c>
      <c r="K8" s="19" t="s">
        <v>48</v>
      </c>
    </row>
    <row r="9" spans="1:26" x14ac:dyDescent="0.25">
      <c r="G9" s="19">
        <v>8</v>
      </c>
      <c r="H9" s="19" t="s">
        <v>37</v>
      </c>
      <c r="J9" s="19">
        <v>8</v>
      </c>
      <c r="K9" s="19" t="s">
        <v>49</v>
      </c>
    </row>
    <row r="10" spans="1:26" x14ac:dyDescent="0.25">
      <c r="G10" s="19">
        <v>9</v>
      </c>
      <c r="H10" s="19" t="s">
        <v>38</v>
      </c>
    </row>
    <row r="11" spans="1:26" x14ac:dyDescent="0.25">
      <c r="G11" s="19">
        <v>10</v>
      </c>
      <c r="H11" s="19" t="s">
        <v>39</v>
      </c>
    </row>
    <row r="12" spans="1:26" x14ac:dyDescent="0.25">
      <c r="G12" s="19">
        <v>11</v>
      </c>
      <c r="H12" s="19" t="s">
        <v>40</v>
      </c>
    </row>
    <row r="13" spans="1:26" x14ac:dyDescent="0.25">
      <c r="G13" s="19">
        <v>12</v>
      </c>
      <c r="H13" s="19" t="s">
        <v>41</v>
      </c>
    </row>
  </sheetData>
  <mergeCells count="9">
    <mergeCell ref="S1:T1"/>
    <mergeCell ref="V1:W1"/>
    <mergeCell ref="Y1:Z1"/>
    <mergeCell ref="A1:B1"/>
    <mergeCell ref="D1:E1"/>
    <mergeCell ref="G1:H1"/>
    <mergeCell ref="J1:K1"/>
    <mergeCell ref="M1:N1"/>
    <mergeCell ref="P1:Q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Painel</vt:lpstr>
      <vt:lpstr>BaseFator</vt:lpstr>
      <vt:lpstr>PDF</vt:lpstr>
      <vt:lpstr>Ordenados</vt:lpstr>
      <vt:lpstr>Dinamica</vt:lpstr>
      <vt:lpstr>Planilha3</vt:lpstr>
      <vt:lpstr>PDF!Area_de_impressao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mgermano</dc:creator>
  <cp:lastModifiedBy>Maicon Centner</cp:lastModifiedBy>
  <cp:lastPrinted>2022-02-14T18:24:45Z</cp:lastPrinted>
  <dcterms:created xsi:type="dcterms:W3CDTF">2021-09-13T16:49:13Z</dcterms:created>
  <dcterms:modified xsi:type="dcterms:W3CDTF">2023-06-01T21:32:20Z</dcterms:modified>
</cp:coreProperties>
</file>